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y Drive\USIL\0.9 PROYECTO FINAL DE CARRERA III\(25-2-Isw-22) 10 Proyecto de Final de Carrera III\03 Instrumentos de Evaluación\Trabajo Final\"/>
    </mc:Choice>
  </mc:AlternateContent>
  <xr:revisionPtr revIDLastSave="0" documentId="13_ncr:1_{FAC14A41-34B4-42C9-9CB0-1BADDB7C67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riterios" sheetId="4" r:id="rId1"/>
    <sheet name="Rúbric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J94" i="4"/>
  <c r="I94" i="4"/>
  <c r="H94" i="4"/>
  <c r="G94" i="4"/>
  <c r="F94" i="4"/>
  <c r="E94" i="4"/>
  <c r="D94" i="4"/>
  <c r="I83" i="4"/>
  <c r="H83" i="4"/>
  <c r="G83" i="4"/>
  <c r="F83" i="4"/>
  <c r="E83" i="4"/>
  <c r="D83" i="4"/>
  <c r="E73" i="4"/>
  <c r="D73" i="4"/>
  <c r="E43" i="4"/>
  <c r="D43" i="4"/>
  <c r="E32" i="4"/>
  <c r="D32" i="4"/>
  <c r="G16" i="4"/>
  <c r="F16" i="4"/>
  <c r="G15" i="4"/>
  <c r="F15" i="4"/>
  <c r="G14" i="4"/>
  <c r="F14" i="4"/>
  <c r="G13" i="4"/>
  <c r="F13" i="4"/>
  <c r="G12" i="4"/>
  <c r="F12" i="4"/>
  <c r="I13" i="4" l="1"/>
  <c r="I16" i="4"/>
  <c r="I14" i="4"/>
  <c r="I15" i="4"/>
  <c r="I12" i="4"/>
</calcChain>
</file>

<file path=xl/sharedStrings.xml><?xml version="1.0" encoding="utf-8"?>
<sst xmlns="http://schemas.openxmlformats.org/spreadsheetml/2006/main" count="408" uniqueCount="277">
  <si>
    <t>Evaluación del Trabajo Final de Curso</t>
  </si>
  <si>
    <t>Curso/Clase</t>
  </si>
  <si>
    <t>Semestre</t>
  </si>
  <si>
    <t>Evaluación</t>
  </si>
  <si>
    <t>Ciclo</t>
  </si>
  <si>
    <t xml:space="preserve">Docente </t>
  </si>
  <si>
    <t>Tipo</t>
  </si>
  <si>
    <t>“A”</t>
  </si>
  <si>
    <t>Duración</t>
  </si>
  <si>
    <t>20 minutos de exposición.</t>
  </si>
  <si>
    <t>Fecha</t>
  </si>
  <si>
    <t>Tema/Título</t>
  </si>
  <si>
    <t>Integrantes</t>
  </si>
  <si>
    <t>1° Avance:</t>
  </si>
  <si>
    <t>Criterios</t>
  </si>
  <si>
    <t>Puntaje Máximo</t>
  </si>
  <si>
    <t>Introducción.</t>
  </si>
  <si>
    <t>Total</t>
  </si>
  <si>
    <t>2° Avance:</t>
  </si>
  <si>
    <t>Conclusiones.</t>
  </si>
  <si>
    <t>Referencias.</t>
  </si>
  <si>
    <t>Muestra dominio de conocimiento del trabajo presentado.</t>
  </si>
  <si>
    <t>Informe</t>
  </si>
  <si>
    <t>Exposición</t>
  </si>
  <si>
    <t>Promedio</t>
  </si>
  <si>
    <t>Observaciones / Comentarios del Docente</t>
  </si>
  <si>
    <r>
      <t>1)</t>
    </r>
    <r>
      <rPr>
        <b/>
        <sz val="7"/>
        <color theme="1"/>
        <rFont val="Calibri"/>
        <family val="2"/>
        <scheme val="minor"/>
      </rPr>
      <t> </t>
    </r>
    <r>
      <rPr>
        <b/>
        <sz val="11"/>
        <color theme="1"/>
        <rFont val="Calibri"/>
        <family val="2"/>
        <scheme val="minor"/>
      </rPr>
      <t>Evaluación del Informe:</t>
    </r>
  </si>
  <si>
    <t>Generalidades del trabajo.</t>
  </si>
  <si>
    <t>Recomendaciones.</t>
  </si>
  <si>
    <t>Incumple reglas de ortografía, normas APA y presenta incoherencias en su redacción.</t>
  </si>
  <si>
    <t>-2</t>
  </si>
  <si>
    <t>Puntaje Obtenido</t>
  </si>
  <si>
    <t>Presenta los temas siguiendo un orden coherente y con claridad.</t>
  </si>
  <si>
    <t>Muestra un desenvolvimiento fluido en su exposición, usando un lenguaje verbal y no verbal apropiados.</t>
  </si>
  <si>
    <t xml:space="preserve">El material didáctico empleado muestra un diseño organizado, legible, interactivo, creativo, que genera una comunicación visual. </t>
  </si>
  <si>
    <t>Responde de forma consistente las preguntas que se le hace.</t>
  </si>
  <si>
    <t>3° Presentación de Informe Final:</t>
  </si>
  <si>
    <r>
      <t>2)</t>
    </r>
    <r>
      <rPr>
        <b/>
        <sz val="7"/>
        <color theme="1"/>
        <rFont val="Calibri"/>
        <family val="2"/>
        <scheme val="minor"/>
      </rPr>
      <t> </t>
    </r>
    <r>
      <rPr>
        <b/>
        <sz val="11"/>
        <color theme="1"/>
        <rFont val="Calibri"/>
        <family val="2"/>
        <scheme val="minor"/>
      </rPr>
      <t>Exposición del Trabajo:</t>
    </r>
  </si>
  <si>
    <t>Apellidos, Nombres</t>
  </si>
  <si>
    <t>Título del trabajo de los estudiantes</t>
  </si>
  <si>
    <t>Logrado</t>
  </si>
  <si>
    <t xml:space="preserve">En desarrollo </t>
  </si>
  <si>
    <t>Inicial</t>
  </si>
  <si>
    <t>Contiene todos los ítems solicitados (0.5)</t>
  </si>
  <si>
    <t>No presenta (0)</t>
  </si>
  <si>
    <t>Contiene datos generales (0.1)</t>
  </si>
  <si>
    <t>Contiene datos generales entre ellos los nombres de los integrantes (0.3)</t>
  </si>
  <si>
    <t>Desenvolvimiento.</t>
  </si>
  <si>
    <t>Presentación temática.</t>
  </si>
  <si>
    <t>Matrial didáctico.</t>
  </si>
  <si>
    <t>Capacidad de respuesta.</t>
  </si>
  <si>
    <t>Conocimiento.</t>
  </si>
  <si>
    <t>Redacción.</t>
  </si>
  <si>
    <t>Presenta los temas siguiendo un orden coherente y con claridad (4).</t>
  </si>
  <si>
    <t>Muestra un desenvolvimiento fluido en su exposición, usando un lenguaje verbal y no verbal apropiados (4).</t>
  </si>
  <si>
    <t xml:space="preserve">El material didáctico empleado muestra un diseño organizado, legible, interactivo, creativo, que genera una comunicación visual (3). </t>
  </si>
  <si>
    <t>Muestra dominio de conocimiento del trabajo presentado (5).</t>
  </si>
  <si>
    <t>Responde de forma consistente las preguntas que se le hace (4).</t>
  </si>
  <si>
    <t>Incumple reglas de ortografía, normas APA y presenta incoherencias en su redacción (0).</t>
  </si>
  <si>
    <t>1) Primer avance:</t>
  </si>
  <si>
    <t>2) Segundo avance:</t>
  </si>
  <si>
    <t>3) Presentación Final:</t>
  </si>
  <si>
    <t>a) Informe Final:</t>
  </si>
  <si>
    <r>
      <t>b)</t>
    </r>
    <r>
      <rPr>
        <b/>
        <sz val="7"/>
        <color theme="1"/>
        <rFont val="Calibri"/>
        <family val="2"/>
        <scheme val="minor"/>
      </rPr>
      <t> </t>
    </r>
    <r>
      <rPr>
        <b/>
        <sz val="11"/>
        <color theme="1"/>
        <rFont val="Calibri"/>
        <family val="2"/>
        <scheme val="minor"/>
      </rPr>
      <t>Exposición:</t>
    </r>
  </si>
  <si>
    <t>I</t>
  </si>
  <si>
    <t>2026-1</t>
  </si>
  <si>
    <t>Facultad de Ingeniería e Inteligencia Artificial</t>
  </si>
  <si>
    <t>Ing. de Sistemas de Información - Ing. de Software 
Ciencia de Datos e IA - Ing. en Ciberseguridad
Ing. en Inteligencia Artificial</t>
  </si>
  <si>
    <t>Avanzado</t>
  </si>
  <si>
    <t>Carátula – Tabla de contenidos.</t>
  </si>
  <si>
    <t xml:space="preserve">Contiene una introducción clara y bien estructurada (0.25)	</t>
  </si>
  <si>
    <t xml:space="preserve">Introducción con detalles básicos (0.2)	</t>
  </si>
  <si>
    <t>Introducción incompleta (0.1)</t>
  </si>
  <si>
    <t>Descripción de la problemática.</t>
  </si>
  <si>
    <t xml:space="preserve">Descripción clara y detallada del problema (1)	</t>
  </si>
  <si>
    <t xml:space="preserve">Descripción algo clara, pero faltan detalles importantes (0.75)	</t>
  </si>
  <si>
    <t xml:space="preserve">Descripción vaga o incompleta (0.5)	</t>
  </si>
  <si>
    <t>Objetivos.</t>
  </si>
  <si>
    <t xml:space="preserve">Objetivos claros y bien definidos (0.5)	</t>
  </si>
  <si>
    <t xml:space="preserve">Objetivos definidos, pero necesitan ajustes (0.35)	</t>
  </si>
  <si>
    <t xml:space="preserve">Objetivos vagos o poco claros (0.2)	</t>
  </si>
  <si>
    <t>Desarrollo</t>
  </si>
  <si>
    <t>Empatizar</t>
  </si>
  <si>
    <t xml:space="preserve">Se presenta un proceso claro y adecuado para empatizar (0.25)	</t>
  </si>
  <si>
    <t xml:space="preserve">Empatización insuficiente, pero presente (0.2)	</t>
  </si>
  <si>
    <t xml:space="preserve">Empatización vaga o mal definida (0.1)	</t>
  </si>
  <si>
    <t>Definir</t>
  </si>
  <si>
    <t xml:space="preserve">El problema está bien definido y enfocado (0.25)	</t>
  </si>
  <si>
    <t xml:space="preserve">Definición algo clara, pero necesita más detalle (0.2)	</t>
  </si>
  <si>
    <t xml:space="preserve">Definición vaga o incompleta (0.1)	</t>
  </si>
  <si>
    <t>Idear</t>
  </si>
  <si>
    <t xml:space="preserve">Soluciones innovadoras y bien fundamentadas (0.25)	</t>
  </si>
  <si>
    <t xml:space="preserve">Ideas presentadas, pero carecen de innovación (0.2)	</t>
  </si>
  <si>
    <t xml:space="preserve">Ideas poco desarrolladas o confusas (0.1)	</t>
  </si>
  <si>
    <t>Prototipar</t>
  </si>
  <si>
    <t xml:space="preserve">Prototipo claro y alineado a la solución propuesta (0.25)	</t>
  </si>
  <si>
    <t>Prototipo incompleto o con detalles faltantes (0.2)</t>
  </si>
  <si>
    <t xml:space="preserve">Prototipo vago o sin relación clara con la solución (0.1)	</t>
  </si>
  <si>
    <t>Testear</t>
  </si>
  <si>
    <t>El proceso de prueba es bien estructurado y documentado (0.25)</t>
  </si>
  <si>
    <t xml:space="preserve">El proceso de prueba es adecuado pero poco detallado (0.2)	</t>
  </si>
  <si>
    <t xml:space="preserve">El proceso de prueba es confuso o incompleto (0.1)	</t>
  </si>
  <si>
    <t>Lean startup</t>
  </si>
  <si>
    <t xml:space="preserve">Aplicación clara y adecuada del enfoque Lean startup (0.25)	</t>
  </si>
  <si>
    <t xml:space="preserve">Aplicación parcial del enfoque Lean startup (0.2)	</t>
  </si>
  <si>
    <t xml:space="preserve">Aplicación muy básica o incorrecta del enfoque Lean startup (0.1)	</t>
  </si>
  <si>
    <t>Modelo de Negocio</t>
  </si>
  <si>
    <t xml:space="preserve">Modelo de negocio claro, viable y bien estructurado (0.5)	</t>
  </si>
  <si>
    <t xml:space="preserve">Modelo de negocio planteado, pero con dudas de viabilidad (0.35)	</t>
  </si>
  <si>
    <t xml:space="preserve">Modelo de negocio poco claro o inviable (0.2)	</t>
  </si>
  <si>
    <t>Monitoreo y Control</t>
  </si>
  <si>
    <t>Se realiza de forma completa y detallada (0.25)</t>
  </si>
  <si>
    <t>Monitoreo y control con algunos detalles faltantes (0.15)</t>
  </si>
  <si>
    <t>Monitoreo y control parcial, falta de información importante (0.1)</t>
  </si>
  <si>
    <t>No presenta monitoreo ni control (0)</t>
  </si>
  <si>
    <t>Análisis de hardware</t>
  </si>
  <si>
    <t>Análisis adecuado de los componentes de hardware (0.25)</t>
  </si>
  <si>
    <t>Análisis adecuado pero con detalles mínimos (0.2)</t>
  </si>
  <si>
    <t>Análisis de hardware incompleto o poco claro (0.15)</t>
  </si>
  <si>
    <t>Análisis de hardware muy limitado o ausente (0)</t>
  </si>
  <si>
    <t>Desarrollo de Software</t>
  </si>
  <si>
    <t>Fases</t>
  </si>
  <si>
    <t>Fases completas y bien definidas (0.5)</t>
  </si>
  <si>
    <t>Fases claramente descritas, pero algo generales (0.4)</t>
  </si>
  <si>
    <t>Fases poco detalladas o incompletas (0.25)</t>
  </si>
  <si>
    <t>Fases no definidas o incompletas (0)</t>
  </si>
  <si>
    <t>implementación</t>
  </si>
  <si>
    <t>Implementación completamente funcional y detallada (1)</t>
  </si>
  <si>
    <t>Implementación funcional con algunos detalles a mejorar (0.8)</t>
  </si>
  <si>
    <t>Implementación parcial o con problemas (0.5)</t>
  </si>
  <si>
    <t>Implementación deficiente o no presentada (0)</t>
  </si>
  <si>
    <t>Funcionalidad del Software</t>
  </si>
  <si>
    <t>Funcionalidad completamente desarrollada y sin errores (2)</t>
  </si>
  <si>
    <t>Funcionalidad bien desarrollada, pero con algunos errores menores (1.5)</t>
  </si>
  <si>
    <t>Funcionalidad limitada o con muchos errores (1)</t>
  </si>
  <si>
    <t>Funcionalidad nula o inoperante (0)</t>
  </si>
  <si>
    <t>Documento de Anexo</t>
  </si>
  <si>
    <t>Documento de anexo completamente detallado y relacionado (1)</t>
  </si>
  <si>
    <t>Documento de anexo con algunos detalles faltantes (0.8)</t>
  </si>
  <si>
    <t>Documento de anexo incompleto o sin detalle (0.5)</t>
  </si>
  <si>
    <t>Documento de anexo no presentado (0)</t>
  </si>
  <si>
    <t>Contiene todos los ítems solicitados (0.1)</t>
  </si>
  <si>
    <t>Contiene algunos de los ítems solicitados (0.75)</t>
  </si>
  <si>
    <t>Contiene solo algunos ítems básicos (0.05)</t>
  </si>
  <si>
    <t>No presenta carátula ni tabla de contenido (0)</t>
  </si>
  <si>
    <t>Introducción clara y bien estructurada (0.1)</t>
  </si>
  <si>
    <t>Introducción con detalles básicos (0.1)</t>
  </si>
  <si>
    <t>Introducción vaga o incompleta (0.05)</t>
  </si>
  <si>
    <t>No presenta introducción (0)</t>
  </si>
  <si>
    <t>Descripción clara y detallada del problema (0.2)</t>
  </si>
  <si>
    <t>Descripción general del problema con algunos detalles (0.15)</t>
  </si>
  <si>
    <t>Descripción incompleta o poco clara (0.1)</t>
  </si>
  <si>
    <t>Descripción incompleta o ausente (0)</t>
  </si>
  <si>
    <t>Objetivos claros y bien definidos (0.1)</t>
  </si>
  <si>
    <t>Objetivos algo definidos, pero necesitan ajustes (0.075)</t>
  </si>
  <si>
    <t>Objetivos vagos o no bien definidos (0.05)</t>
  </si>
  <si>
    <t>Objetivos no definidos (0)</t>
  </si>
  <si>
    <t>Proceso de empatización bien desarrollado (0.25)</t>
  </si>
  <si>
    <t>Empatización superficial o incompleta (0.2)</t>
  </si>
  <si>
    <t>Empatización incompleta (0.15)</t>
  </si>
  <si>
    <t>No presenta empatización (0)</t>
  </si>
  <si>
    <t>Definición clara del problema (0.25)</t>
  </si>
  <si>
    <t>Definición básica del problema (0.2)</t>
  </si>
  <si>
    <t>Definición poco clara del problema (0.15)</t>
  </si>
  <si>
    <t>Definición del problema ausente o muy vaga (0)</t>
  </si>
  <si>
    <t>Soluciones innovadoras y bien fundamentadas (0.25)</t>
  </si>
  <si>
    <t>Soluciones planteadas, pero con falta de detalles (0.2)</t>
  </si>
  <si>
    <t>Ideas presentadas sin claridad o innovación (0.15)</t>
  </si>
  <si>
    <t>Ideas no presentadas o irrelevantes (0)</t>
  </si>
  <si>
    <t>Prototipo claro y alineado con la solución (0.25)</t>
  </si>
  <si>
    <t>Prototipo mal definido o incompleto (0.15)</t>
  </si>
  <si>
    <t>No presenta prototipo (0)</t>
  </si>
  <si>
    <t>Proceso de testeo bien definido (0.25)</t>
  </si>
  <si>
    <t>Testeo incompleto o con pocos detalles (0.2)</t>
  </si>
  <si>
    <t>Testeo incompleto o confuso (0.15)</t>
  </si>
  <si>
    <t>Testeo ausente (0)</t>
  </si>
  <si>
    <t>Aplicación adecuada del enfoque Lean startup (0.25)</t>
  </si>
  <si>
    <t>Aplicación parcial del enfoque Lean startup (0.2)</t>
  </si>
  <si>
    <t>Enfoque Lean startup muy limitado (0.15)</t>
  </si>
  <si>
    <t>No aplica Lean startup (0)</t>
  </si>
  <si>
    <t>Modelo de negocio claro y viable (0.25)</t>
  </si>
  <si>
    <t>Modelo de negocio planteado pero con dudas de viabilidad (0.2)</t>
  </si>
  <si>
    <t>Modelo de negocio incompleto o sin viabilidad (0.15)</t>
  </si>
  <si>
    <t>Modelo de negocio ausente (0)</t>
  </si>
  <si>
    <t>Trabajo con detalles generales completos (0.25)</t>
  </si>
  <si>
    <t>Trabajo con detalles generales, pero poco desarrollados (0.2)</t>
  </si>
  <si>
    <t>Trabajo con pocos detalles (0.15)</t>
  </si>
  <si>
    <t>Trabajo incompleto o irrelevante (0)</t>
  </si>
  <si>
    <t>Monitoreo y control bien estructurados (0.25)</t>
  </si>
  <si>
    <t>Monitoreo y control incompletos o superficiales (0.2)</t>
  </si>
  <si>
    <t>Monitoreo y control muy limitados o ausentes (0.15)</t>
  </si>
  <si>
    <t>Monitoreo y control ausentes (0)</t>
  </si>
  <si>
    <t>Análisis de hardware adecuado y detallado (0.25)</t>
  </si>
  <si>
    <t>Análisis de hardware con detalles mínimos (0.2)</t>
  </si>
  <si>
    <t>Análisis de hardware incompleto o mal planteado (0.15)</t>
  </si>
  <si>
    <t>Análisis de hardware no realizado (0)</t>
  </si>
  <si>
    <t>Fases del desarrollo completas y detalladas (0.25)</t>
  </si>
  <si>
    <t>Fases del desarrollo con poca profundidad (0.2)</t>
  </si>
  <si>
    <t>Fases poco detalladas o incompletas (0.15)</t>
  </si>
  <si>
    <t>Fases no presentadas (0)</t>
  </si>
  <si>
    <t>Implementación completa y detallada (0.25)</t>
  </si>
  <si>
    <t>Implementación parcial o con problemas (0.2)</t>
  </si>
  <si>
    <t>Implementación deficiente o con errores importantes (0.15)</t>
  </si>
  <si>
    <t>Implementación no presentada (0)</t>
  </si>
  <si>
    <t>Funcionalidad completamente operativa (5)</t>
  </si>
  <si>
    <t>Funcionalidad con algunos errores menores (3.5)</t>
  </si>
  <si>
    <t>Funcionalidad limitada o con muchos errores (2.5)</t>
  </si>
  <si>
    <t>Funcionalidad no operativa (0)</t>
  </si>
  <si>
    <t>Documento de anexo completo y relacionado (0.25)</t>
  </si>
  <si>
    <t>Documento de anexo con algunos detalles faltantes (0.2)</t>
  </si>
  <si>
    <t>Documento de anexo mal estructurado o incompleto (0.15)</t>
  </si>
  <si>
    <t>Conclusiones claras y bien fundamentadas (1)</t>
  </si>
  <si>
    <t>Conclusiones generales pero incompletas (0.75)</t>
  </si>
  <si>
    <t>Conclusiones no claras o incompletas (0.5)</t>
  </si>
  <si>
    <t>Conclusiones no presentadas (0)</t>
  </si>
  <si>
    <t>Recomendaciones relevantes y bien estructuradas (1)</t>
  </si>
  <si>
    <t>Recomendaciones con poca aplicabilidad (0.75)</t>
  </si>
  <si>
    <t>Recomendaciones muy generales o no aplicables (0.5)</t>
  </si>
  <si>
    <t>Recomendaciones no presentadas (0)</t>
  </si>
  <si>
    <t>Referencias correctamente citadas (0.25)</t>
  </si>
  <si>
    <t>Referencias mínimamente completas (0.2)</t>
  </si>
  <si>
    <t>Referencias mal citadas o ausentes (0.15)</t>
  </si>
  <si>
    <t>Referencias no presentadas (0)</t>
  </si>
  <si>
    <t>Cumple con las normas de ortografía, APA y coherencia en la redacción (0)</t>
  </si>
  <si>
    <t>Presenta algunos errores ortográficos, APA, o incoherencias menores (-0.5)</t>
  </si>
  <si>
    <t>Numerosos errores ortográficos, APA e incoherencias en la redacción (-1.5)</t>
  </si>
  <si>
    <t>Numerosos errores ortográficos y de redacción (-2)</t>
  </si>
  <si>
    <t>Presenta los temas de forma clara pero con algunos detalles faltantes (3)</t>
  </si>
  <si>
    <t>Presenta los temas de manera confusa o desordenada (2)</t>
  </si>
  <si>
    <t>No presenta los temas de forma clara ni coherente (0)</t>
  </si>
  <si>
    <t>Exposición fluida, pero con falta de claridad o detalles en algunos puntos (3)</t>
  </si>
  <si>
    <t>Desarrollo de la exposición limitado, con dificultades de fluidez (2)</t>
  </si>
  <si>
    <t>La exposición es incompleta o desorganizada, con problemas graves de comunicación (0)</t>
  </si>
  <si>
    <t>El material didáctico es adecuado, pero podría mejorar en algunos aspectos de diseño (2)</t>
  </si>
  <si>
    <t>El material didáctico es incompleto o difícil de entender (1)</t>
  </si>
  <si>
    <t>El material didáctico está ausente o es completamente inadecuado (0)</t>
  </si>
  <si>
    <t>Muestra conocimiento general, pero con algunos vacíos importantes (4)</t>
  </si>
  <si>
    <t>Muestra algunos conocimientos, pero con varios vacíos en el trabajo presentado (3)</t>
  </si>
  <si>
    <t>No muestra dominio del conocimiento en el trabajo presentado (0)</t>
  </si>
  <si>
    <t>Responde de manera parcial a las preguntas, con algunos detalles imprecisos (3)</t>
  </si>
  <si>
    <t>Responde de manera inconsistente a las preguntas, con respuestas incompletas (2)</t>
  </si>
  <si>
    <t>No responde adecuadamente a las preguntas, dejando muchas sin respuesta (0)</t>
  </si>
  <si>
    <t>Trabajo Final.</t>
  </si>
  <si>
    <t>“Proyecto Final de Carrera III”</t>
  </si>
  <si>
    <t>c) Software:</t>
  </si>
  <si>
    <t>El software cumple correctamente con los requisitos funcionales propuestos y opera de forma estable, sin errores críticos.</t>
  </si>
  <si>
    <t>La interfaz es intuitiva y usable, permitiendo una navegación clara y una correcta interacción del usuario con el sistema.</t>
  </si>
  <si>
    <t>El código está estructurado y es legible, siguiendo buenas prácticas de programación y un diseño modular adecuado.</t>
  </si>
  <si>
    <t>El software supera las pruebas de funcionamiento, validando los datos y manejando adecuadamente los casos de error.</t>
  </si>
  <si>
    <t>Los módulos del sistema se integran y comunican correctamente, manteniendo un rendimiento adecuado en su ejecución.</t>
  </si>
  <si>
    <t>El estudiante explica con claridad el funcionamiento del software y sustenta la contribución de cada integrante al desarrollo.</t>
  </si>
  <si>
    <t>En desarrollo</t>
  </si>
  <si>
    <t>Cumple con todos los requisitos funcionales propuestos y opera de forma estable, sin errores críticos (3).</t>
  </si>
  <si>
    <t>Cumple con la mayoría de los requisitos funcionales; presenta fallas menores que no afectan la operación (2).</t>
  </si>
  <si>
    <t>Cumple parcialmente los requisitos; presenta errores que afectan algunas funciones (1).</t>
  </si>
  <si>
    <t>No cumple los requisitos funcionales o el software no opera (0).</t>
  </si>
  <si>
    <t>Interfaz intuitiva y usable; permite una navegación clara y una correcta interacción del usuario (2).</t>
  </si>
  <si>
    <t>Interfaz usable, con algunos detalles de navegación o interacción por mejorar (1.5).</t>
  </si>
  <si>
    <t>Interfaz poco intuitiva; la navegación dificulta la interacción del usuario (1).</t>
  </si>
  <si>
    <t>Interfaz confusa, inadecuada o inexistente (0).</t>
  </si>
  <si>
    <t>Código estructurado, legible y modular, siguiendo buenas prácticas de programación (2).</t>
  </si>
  <si>
    <t>Código mayormente ordenado y legible, con algunas prácticas o estructura por mejorar (1.5).</t>
  </si>
  <si>
    <t>Código poco estructurado o difícil de leer; aplica buenas prácticas de forma limitada (1).</t>
  </si>
  <si>
    <t>Código desorganizado, sin estructura clara o ausente (0).</t>
  </si>
  <si>
    <t>Supera las pruebas de funcionamiento, valida los datos y maneja adecuadamente los casos de error (3).</t>
  </si>
  <si>
    <t>Supera la mayoría de las pruebas; el manejo de errores presenta fallas menores (2).</t>
  </si>
  <si>
    <t>Pruebas incompletas; la validación de datos y el manejo de errores son deficientes (1).</t>
  </si>
  <si>
    <t>No supera las pruebas o no valida los datos (0).</t>
  </si>
  <si>
    <t>Los módulos se integran y comunican correctamente, manteniendo un buen rendimiento (2).</t>
  </si>
  <si>
    <t>Integración funcional, con detalles de comunicación o rendimiento por mejorar (1.5).</t>
  </si>
  <si>
    <t>Integración parcial o con problemas de comunicación entre módulos (1).</t>
  </si>
  <si>
    <t>Módulos sin integración ni comunicación funcional (0).</t>
  </si>
  <si>
    <t>Explica con claridad el funcionamiento del software y sustenta la contribución de cada integrante al desarrollo (8).</t>
  </si>
  <si>
    <t>Explica el funcionamiento de forma general y sustenta parcialmente las contribuciones al desarrollo (6).</t>
  </si>
  <si>
    <t>Explicación limitada o confusa; las contribuciones al desarrollo se sustentan de forma insuficiente (4).</t>
  </si>
  <si>
    <t>No explica el funcionamiento del software ni sustenta las contribuciones al desarrollo (0).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</si>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</sst>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 indent="2"/>
    </xf>
    <xf numFmtId="0" fontId="2" fillId="0" borderId="3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2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2" borderId="24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14" fontId="4" fillId="0" borderId="19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righ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2" borderId="31" xfId="0" quotePrefix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2" borderId="30" xfId="0" quotePrefix="1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43" xfId="0" applyNumberFormat="1" applyFont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center" vertical="center" wrapText="1"/>
    </xf>
    <xf numFmtId="164" fontId="4" fillId="0" borderId="44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justify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justify" vertical="center" wrapText="1"/>
    </xf>
    <xf numFmtId="0" fontId="4" fillId="0" borderId="22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justify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12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justify" vertical="center" wrapText="1"/>
    </xf>
    <xf numFmtId="0" fontId="4" fillId="0" borderId="17" xfId="0" applyFont="1" applyBorder="1" applyAlignment="1">
      <alignment horizontal="justify" vertical="center"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4" fillId="0" borderId="25" xfId="0" applyFont="1" applyBorder="1" applyAlignment="1">
      <alignment horizontal="justify" vertical="center" wrapText="1"/>
    </xf>
    <xf numFmtId="0" fontId="4" fillId="0" borderId="27" xfId="0" applyFont="1" applyBorder="1" applyAlignment="1">
      <alignment horizontal="justify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justify" vertical="center" wrapText="1"/>
    </xf>
    <xf numFmtId="0" fontId="4" fillId="0" borderId="36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justify" vertical="center" wrapText="1"/>
    </xf>
    <xf numFmtId="0" fontId="4" fillId="0" borderId="23" xfId="0" applyFont="1" applyBorder="1" applyAlignment="1">
      <alignment horizontal="justify" vertical="center" wrapText="1"/>
    </xf>
    <xf numFmtId="0" fontId="10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5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0" fillId="0" borderId="8" xfId="0" applyBorder="1" applyAlignment="1">
      <alignment wrapText="1"/>
    </xf>
    <xf numFmtId="0" fontId="2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top" wrapText="1"/>
    </xf>
    <xf numFmtId="0" fontId="6" fillId="3" borderId="40" xfId="0" applyFont="1" applyFill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left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2" fontId="12" fillId="0" borderId="0" xfId="0" applyNumberFormat="1" applyFont="1" applyAlignment="1">
      <alignment vertical="center" wrapText="1"/>
    </xf>
    <xf numFmtId="0" fontId="13" fillId="4" borderId="48" xfId="0" applyFont="1" applyFill="1" applyBorder="1" applyAlignment="1">
      <alignment horizontal="center" vertical="center" wrapText="1"/>
    </xf>
    <xf numFmtId="2" fontId="13" fillId="4" borderId="48" xfId="0" applyNumberFormat="1" applyFont="1" applyFill="1" applyBorder="1" applyAlignment="1">
      <alignment horizontal="center" vertical="center" wrapText="1"/>
    </xf>
    <xf numFmtId="0" fontId="12" fillId="0" borderId="48" xfId="0" applyFont="1" applyBorder="1" applyAlignment="1">
      <alignment horizontal="left" vertical="center" wrapText="1"/>
    </xf>
    <xf numFmtId="1" fontId="12" fillId="5" borderId="48" xfId="0" applyNumberFormat="1" applyFont="1" applyFill="1" applyBorder="1" applyAlignment="1">
      <alignment horizontal="center" vertical="center" wrapText="1"/>
    </xf>
    <xf numFmtId="2" fontId="12" fillId="6" borderId="48" xfId="0" applyNumberFormat="1" applyFont="1" applyFill="1" applyBorder="1" applyAlignment="1">
      <alignment horizontal="center" vertical="center" wrapText="1"/>
    </xf>
    <xf numFmtId="0" fontId="12" fillId="0" borderId="48" xfId="0" applyFont="1" applyBorder="1" applyAlignment="1">
      <alignment vertical="center" wrapText="1"/>
    </xf>
    <xf numFmtId="0" fontId="14" fillId="0" borderId="48" xfId="0" applyFont="1" applyBorder="1" applyAlignment="1">
      <alignment horizontal="right" vertical="center" wrapText="1"/>
    </xf>
    <xf numFmtId="1" fontId="14" fillId="5" borderId="48" xfId="0" applyNumberFormat="1" applyFont="1" applyFill="1" applyBorder="1" applyAlignment="1">
      <alignment horizontal="center" vertical="center" wrapText="1"/>
    </xf>
    <xf numFmtId="1" fontId="14" fillId="6" borderId="48" xfId="0" applyNumberFormat="1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5" fillId="7" borderId="0" xfId="0" applyFont="1" applyFill="1" applyBorder="1" applyAlignment="1">
      <alignment horizontal="center" wrapText="1"/>
    </xf>
    <xf numFmtId="0" fontId="15" fillId="7" borderId="0" xfId="0" applyFont="1" applyFill="1" applyAlignment="1">
      <alignment horizontal="center" wrapText="1"/>
    </xf>
    <xf numFmtId="1" fontId="12" fillId="5" borderId="49" xfId="0" applyNumberFormat="1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361950</xdr:colOff>
      <xdr:row>1</xdr:row>
      <xdr:rowOff>294640</xdr:rowOff>
    </xdr:to>
    <xdr:pic>
      <xdr:nvPicPr>
        <xdr:cNvPr id="3" name="Imagen 2" descr="Imagen que contiene Texto&#10;&#10;Descripción generada automáticamente">
          <a:extLst>
            <a:ext uri="{FF2B5EF4-FFF2-40B4-BE49-F238E27FC236}">
              <a16:creationId xmlns:a16="http://schemas.microsoft.com/office/drawing/2014/main" id="{D0205662-68E6-4533-8A23-416E6EA80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400175" cy="4851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1400175</xdr:colOff>
      <xdr:row>1</xdr:row>
      <xdr:rowOff>294640</xdr:rowOff>
    </xdr:to>
    <xdr:pic>
      <xdr:nvPicPr>
        <xdr:cNvPr id="2" name="Imagen 1" descr="Imagen que contiene Texto&#10;&#10;Descripción generada automáticamente">
          <a:extLst>
            <a:ext uri="{FF2B5EF4-FFF2-40B4-BE49-F238E27FC236}">
              <a16:creationId xmlns:a16="http://schemas.microsoft.com/office/drawing/2014/main" id="{D528B230-B1AC-4A42-81F4-369C602B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400175" cy="4851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13AAD2-FE54-45B0-A53F-57E8B073EE2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8d5a222-f0af-41da-af21-69a41c0b718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9"/>
  <sheetViews>
    <sheetView tabSelected="1" workbookViewId="0">
      <selection activeCell="K13" sqref="K13"/>
    </sheetView>
  </sheetViews>
  <sheetFormatPr defaultColWidth="10.6640625" defaultRowHeight="14.25" x14ac:dyDescent="0.45"/>
  <cols>
    <col min="1" max="1" width="5" customWidth="1"/>
    <col min="2" max="2" width="15.59765625" customWidth="1"/>
    <col min="3" max="3" width="30.265625" customWidth="1"/>
    <col min="4" max="5" width="8.59765625" customWidth="1"/>
    <col min="6" max="8" width="9.1328125" customWidth="1"/>
    <col min="9" max="9" width="10.3984375" bestFit="1" customWidth="1"/>
  </cols>
  <sheetData>
    <row r="1" spans="2:9" x14ac:dyDescent="0.45">
      <c r="I1" s="87" t="s">
        <v>66</v>
      </c>
    </row>
    <row r="2" spans="2:9" ht="33.75" customHeight="1" x14ac:dyDescent="0.45">
      <c r="F2" s="120" t="s">
        <v>67</v>
      </c>
      <c r="G2" s="120"/>
      <c r="H2" s="120"/>
      <c r="I2" s="120"/>
    </row>
    <row r="3" spans="2:9" x14ac:dyDescent="0.45">
      <c r="F3" s="88"/>
      <c r="G3" s="88"/>
      <c r="H3" s="88"/>
      <c r="I3" s="88"/>
    </row>
    <row r="4" spans="2:9" ht="23.25" x14ac:dyDescent="0.45">
      <c r="B4" s="121" t="s">
        <v>0</v>
      </c>
      <c r="C4" s="121"/>
      <c r="D4" s="121"/>
      <c r="E4" s="121"/>
      <c r="F4" s="121"/>
      <c r="G4" s="121"/>
      <c r="H4" s="121"/>
      <c r="I4" s="121"/>
    </row>
    <row r="5" spans="2:9" ht="12.75" customHeight="1" thickBot="1" x14ac:dyDescent="0.5">
      <c r="B5" s="32"/>
      <c r="C5" s="32"/>
      <c r="D5" s="32"/>
      <c r="E5" s="32"/>
      <c r="F5" s="32"/>
    </row>
    <row r="6" spans="2:9" x14ac:dyDescent="0.45">
      <c r="B6" s="16" t="s">
        <v>1</v>
      </c>
      <c r="C6" s="109" t="s">
        <v>243</v>
      </c>
      <c r="D6" s="110"/>
      <c r="E6" s="110"/>
      <c r="F6" s="111"/>
      <c r="H6" s="18" t="s">
        <v>2</v>
      </c>
      <c r="I6" s="8" t="s">
        <v>65</v>
      </c>
    </row>
    <row r="7" spans="2:9" x14ac:dyDescent="0.45">
      <c r="B7" s="21" t="s">
        <v>3</v>
      </c>
      <c r="C7" s="112" t="s">
        <v>242</v>
      </c>
      <c r="D7" s="113"/>
      <c r="E7" s="113"/>
      <c r="F7" s="114"/>
      <c r="H7" s="27" t="s">
        <v>4</v>
      </c>
      <c r="I7" s="28" t="s">
        <v>64</v>
      </c>
    </row>
    <row r="8" spans="2:9" x14ac:dyDescent="0.45">
      <c r="B8" s="17" t="s">
        <v>5</v>
      </c>
      <c r="C8" s="112"/>
      <c r="D8" s="113"/>
      <c r="E8" s="113"/>
      <c r="F8" s="114"/>
      <c r="H8" s="27" t="s">
        <v>6</v>
      </c>
      <c r="I8" s="28" t="s">
        <v>7</v>
      </c>
    </row>
    <row r="9" spans="2:9" ht="14.65" thickBot="1" x14ac:dyDescent="0.5">
      <c r="B9" s="15" t="s">
        <v>8</v>
      </c>
      <c r="C9" s="115" t="s">
        <v>9</v>
      </c>
      <c r="D9" s="116"/>
      <c r="E9" s="116"/>
      <c r="F9" s="117"/>
      <c r="H9" s="19" t="s">
        <v>10</v>
      </c>
      <c r="I9" s="20">
        <v>45255</v>
      </c>
    </row>
    <row r="10" spans="2:9" ht="14.65" thickBot="1" x14ac:dyDescent="0.5">
      <c r="B10" s="1"/>
    </row>
    <row r="11" spans="2:9" ht="14.65" thickBot="1" x14ac:dyDescent="0.5">
      <c r="B11" s="9" t="s">
        <v>11</v>
      </c>
      <c r="C11" s="93" t="s">
        <v>39</v>
      </c>
      <c r="D11" s="94"/>
      <c r="E11" s="95"/>
      <c r="F11" s="22" t="s">
        <v>22</v>
      </c>
      <c r="G11" s="23" t="s">
        <v>23</v>
      </c>
      <c r="H11" s="23" t="s">
        <v>276</v>
      </c>
      <c r="I11" s="49" t="s">
        <v>24</v>
      </c>
    </row>
    <row r="12" spans="2:9" ht="14.65" thickBot="1" x14ac:dyDescent="0.5">
      <c r="B12" s="99" t="s">
        <v>12</v>
      </c>
      <c r="C12" s="73" t="s">
        <v>38</v>
      </c>
      <c r="D12" s="74"/>
      <c r="E12" s="75"/>
      <c r="F12" s="51">
        <f>$E$30+$E$41+$E$71</f>
        <v>0</v>
      </c>
      <c r="G12" s="29">
        <f>E83</f>
        <v>0</v>
      </c>
      <c r="H12" s="29">
        <f>F83</f>
        <v>0</v>
      </c>
      <c r="I12" s="50">
        <f ca="1">AVERAGE(F12:I12)</f>
        <v>0</v>
      </c>
    </row>
    <row r="13" spans="2:9" ht="14.65" thickBot="1" x14ac:dyDescent="0.5">
      <c r="B13" s="100"/>
      <c r="C13" s="81"/>
      <c r="D13" s="82"/>
      <c r="E13" s="83"/>
      <c r="F13" s="52">
        <f>$E$30+$E$41+$E$71</f>
        <v>0</v>
      </c>
      <c r="G13" s="30">
        <f>F83</f>
        <v>0</v>
      </c>
      <c r="H13" s="30">
        <f>G83</f>
        <v>0</v>
      </c>
      <c r="I13" s="50">
        <f t="shared" ref="I13:I16" ca="1" si="0">AVERAGE(F13:I13)</f>
        <v>0</v>
      </c>
    </row>
    <row r="14" spans="2:9" ht="14.65" thickBot="1" x14ac:dyDescent="0.5">
      <c r="B14" s="100"/>
      <c r="C14" s="76"/>
      <c r="D14" s="1"/>
      <c r="E14" s="77"/>
      <c r="F14" s="52">
        <f>$E$30+$E$41+$E$71</f>
        <v>0</v>
      </c>
      <c r="G14" s="30">
        <f>G83</f>
        <v>0</v>
      </c>
      <c r="H14" s="30">
        <f>H83</f>
        <v>0</v>
      </c>
      <c r="I14" s="50">
        <f t="shared" ca="1" si="0"/>
        <v>0</v>
      </c>
    </row>
    <row r="15" spans="2:9" ht="14.65" thickBot="1" x14ac:dyDescent="0.5">
      <c r="B15" s="100"/>
      <c r="C15" s="81"/>
      <c r="D15" s="82"/>
      <c r="E15" s="83"/>
      <c r="F15" s="52">
        <f>$E$30+$E$41+$E$71</f>
        <v>0</v>
      </c>
      <c r="G15" s="30">
        <f>H83</f>
        <v>0</v>
      </c>
      <c r="H15" s="30">
        <f>I83</f>
        <v>0</v>
      </c>
      <c r="I15" s="50">
        <f t="shared" ca="1" si="0"/>
        <v>0</v>
      </c>
    </row>
    <row r="16" spans="2:9" ht="14.65" thickBot="1" x14ac:dyDescent="0.5">
      <c r="B16" s="101"/>
      <c r="C16" s="78"/>
      <c r="D16" s="79"/>
      <c r="E16" s="80"/>
      <c r="F16" s="53">
        <f>$E$30+$E$41+$E$71</f>
        <v>0</v>
      </c>
      <c r="G16" s="31">
        <f>I83</f>
        <v>0</v>
      </c>
      <c r="H16" s="31">
        <f>J83</f>
        <v>0</v>
      </c>
      <c r="I16" s="50">
        <f t="shared" ca="1" si="0"/>
        <v>0</v>
      </c>
    </row>
    <row r="17" spans="2:5" x14ac:dyDescent="0.45">
      <c r="B17" s="2"/>
    </row>
    <row r="18" spans="2:5" ht="14.65" thickBot="1" x14ac:dyDescent="0.5">
      <c r="B18" s="10" t="s">
        <v>59</v>
      </c>
    </row>
    <row r="19" spans="2:5" ht="26.25" x14ac:dyDescent="0.45">
      <c r="B19" s="135" t="s">
        <v>14</v>
      </c>
      <c r="C19" s="136"/>
      <c r="D19" s="66" t="s">
        <v>15</v>
      </c>
      <c r="E19" s="66" t="s">
        <v>31</v>
      </c>
    </row>
    <row r="20" spans="2:5" x14ac:dyDescent="0.45">
      <c r="B20" s="137" t="s">
        <v>69</v>
      </c>
      <c r="C20" s="137"/>
      <c r="D20" s="123">
        <v>0.25</v>
      </c>
      <c r="E20" s="7"/>
    </row>
    <row r="21" spans="2:5" x14ac:dyDescent="0.45">
      <c r="B21" s="137" t="s">
        <v>16</v>
      </c>
      <c r="C21" s="137"/>
      <c r="D21" s="123">
        <v>0.25</v>
      </c>
      <c r="E21" s="7"/>
    </row>
    <row r="22" spans="2:5" ht="14.25" customHeight="1" x14ac:dyDescent="0.45">
      <c r="B22" s="137" t="s">
        <v>73</v>
      </c>
      <c r="C22" s="137"/>
      <c r="D22" s="123">
        <v>1</v>
      </c>
      <c r="E22" s="7"/>
    </row>
    <row r="23" spans="2:5" ht="14.65" customHeight="1" x14ac:dyDescent="0.45">
      <c r="B23" s="137" t="s">
        <v>77</v>
      </c>
      <c r="C23" s="137"/>
      <c r="D23" s="123">
        <v>0.5</v>
      </c>
      <c r="E23" s="7"/>
    </row>
    <row r="24" spans="2:5" x14ac:dyDescent="0.45">
      <c r="B24" s="134" t="s">
        <v>81</v>
      </c>
      <c r="C24" s="134"/>
      <c r="D24" s="134"/>
      <c r="E24" s="134"/>
    </row>
    <row r="25" spans="2:5" x14ac:dyDescent="0.45">
      <c r="B25" s="137" t="s">
        <v>82</v>
      </c>
      <c r="C25" s="137"/>
      <c r="D25" s="123">
        <v>0.25</v>
      </c>
      <c r="E25" s="7"/>
    </row>
    <row r="26" spans="2:5" x14ac:dyDescent="0.45">
      <c r="B26" s="137" t="s">
        <v>86</v>
      </c>
      <c r="C26" s="137"/>
      <c r="D26" s="123">
        <v>0.25</v>
      </c>
      <c r="E26" s="7"/>
    </row>
    <row r="27" spans="2:5" x14ac:dyDescent="0.45">
      <c r="B27" s="137" t="s">
        <v>90</v>
      </c>
      <c r="C27" s="137"/>
      <c r="D27" s="123">
        <v>0.25</v>
      </c>
      <c r="E27" s="7"/>
    </row>
    <row r="28" spans="2:5" ht="14.25" customHeight="1" x14ac:dyDescent="0.45">
      <c r="B28" s="137" t="s">
        <v>94</v>
      </c>
      <c r="C28" s="137"/>
      <c r="D28" s="123">
        <v>0.25</v>
      </c>
      <c r="E28" s="7"/>
    </row>
    <row r="29" spans="2:5" x14ac:dyDescent="0.45">
      <c r="B29" s="137" t="s">
        <v>98</v>
      </c>
      <c r="C29" s="137"/>
      <c r="D29" s="123">
        <v>0.25</v>
      </c>
      <c r="E29" s="7"/>
    </row>
    <row r="30" spans="2:5" x14ac:dyDescent="0.45">
      <c r="B30" s="137" t="s">
        <v>102</v>
      </c>
      <c r="C30" s="137"/>
      <c r="D30" s="123">
        <v>0.25</v>
      </c>
      <c r="E30" s="7"/>
    </row>
    <row r="31" spans="2:5" x14ac:dyDescent="0.45">
      <c r="B31" s="138" t="s">
        <v>106</v>
      </c>
      <c r="C31" s="138"/>
      <c r="D31" s="123">
        <v>0.5</v>
      </c>
      <c r="E31" s="7"/>
    </row>
    <row r="32" spans="2:5" ht="14.65" thickBot="1" x14ac:dyDescent="0.5">
      <c r="C32" s="11" t="s">
        <v>17</v>
      </c>
      <c r="D32" s="12">
        <f>SUM(D20:D31)</f>
        <v>4</v>
      </c>
      <c r="E32" s="12">
        <f>SUM(E20:E31)</f>
        <v>0</v>
      </c>
    </row>
    <row r="33" spans="2:5" x14ac:dyDescent="0.45">
      <c r="B33" s="3"/>
    </row>
    <row r="34" spans="2:5" ht="14.65" thickBot="1" x14ac:dyDescent="0.5">
      <c r="B34" s="10" t="s">
        <v>60</v>
      </c>
    </row>
    <row r="35" spans="2:5" ht="26.25" x14ac:dyDescent="0.45">
      <c r="B35" s="135" t="s">
        <v>14</v>
      </c>
      <c r="C35" s="139"/>
      <c r="D35" s="65" t="s">
        <v>15</v>
      </c>
      <c r="E35" s="66" t="s">
        <v>31</v>
      </c>
    </row>
    <row r="36" spans="2:5" x14ac:dyDescent="0.45">
      <c r="B36" s="138" t="s">
        <v>110</v>
      </c>
      <c r="C36" s="138"/>
      <c r="D36" s="123">
        <v>0.25</v>
      </c>
      <c r="E36" s="7"/>
    </row>
    <row r="37" spans="2:5" x14ac:dyDescent="0.45">
      <c r="B37" s="137" t="s">
        <v>115</v>
      </c>
      <c r="C37" s="137"/>
      <c r="D37" s="123">
        <v>0.25</v>
      </c>
      <c r="E37" s="7"/>
    </row>
    <row r="38" spans="2:5" x14ac:dyDescent="0.45">
      <c r="B38" s="131" t="s">
        <v>120</v>
      </c>
      <c r="C38" s="131"/>
      <c r="D38" s="131"/>
      <c r="E38" s="131"/>
    </row>
    <row r="39" spans="2:5" ht="14.25" customHeight="1" x14ac:dyDescent="0.45">
      <c r="B39" s="138" t="s">
        <v>121</v>
      </c>
      <c r="C39" s="138"/>
      <c r="D39" s="123">
        <v>0.5</v>
      </c>
      <c r="E39" s="7"/>
    </row>
    <row r="40" spans="2:5" x14ac:dyDescent="0.45">
      <c r="B40" s="138" t="s">
        <v>126</v>
      </c>
      <c r="C40" s="138"/>
      <c r="D40" s="123">
        <v>1</v>
      </c>
      <c r="E40" s="7"/>
    </row>
    <row r="41" spans="2:5" x14ac:dyDescent="0.45">
      <c r="B41" s="137" t="s">
        <v>131</v>
      </c>
      <c r="C41" s="137"/>
      <c r="D41" s="123">
        <v>2</v>
      </c>
      <c r="E41" s="7"/>
    </row>
    <row r="42" spans="2:5" ht="14.25" customHeight="1" x14ac:dyDescent="0.45">
      <c r="B42" s="140" t="s">
        <v>136</v>
      </c>
      <c r="C42" s="140"/>
      <c r="D42" s="123">
        <v>1</v>
      </c>
      <c r="E42" s="7"/>
    </row>
    <row r="43" spans="2:5" ht="14.65" thickBot="1" x14ac:dyDescent="0.5">
      <c r="C43" s="11" t="s">
        <v>17</v>
      </c>
      <c r="D43" s="12">
        <f>SUM(D36:D42)</f>
        <v>5</v>
      </c>
      <c r="E43" s="5">
        <f>SUM(E36:E42)</f>
        <v>0</v>
      </c>
    </row>
    <row r="44" spans="2:5" ht="14.25" customHeight="1" x14ac:dyDescent="0.45">
      <c r="B44" s="3"/>
    </row>
    <row r="45" spans="2:5" x14ac:dyDescent="0.45">
      <c r="B45" s="10" t="s">
        <v>61</v>
      </c>
    </row>
    <row r="46" spans="2:5" x14ac:dyDescent="0.45">
      <c r="B46" s="10"/>
    </row>
    <row r="47" spans="2:5" ht="14.65" thickBot="1" x14ac:dyDescent="0.5">
      <c r="B47" s="10" t="s">
        <v>62</v>
      </c>
    </row>
    <row r="48" spans="2:5" ht="26.65" thickBot="1" x14ac:dyDescent="0.5">
      <c r="B48" s="97" t="s">
        <v>14</v>
      </c>
      <c r="C48" s="98"/>
      <c r="D48" s="40" t="s">
        <v>15</v>
      </c>
      <c r="E48" s="41" t="s">
        <v>31</v>
      </c>
    </row>
    <row r="49" spans="2:5" x14ac:dyDescent="0.45">
      <c r="B49" s="137" t="s">
        <v>69</v>
      </c>
      <c r="C49" s="137"/>
      <c r="D49" s="123">
        <v>0.1</v>
      </c>
      <c r="E49" s="7"/>
    </row>
    <row r="50" spans="2:5" x14ac:dyDescent="0.45">
      <c r="B50" s="137" t="s">
        <v>16</v>
      </c>
      <c r="C50" s="137"/>
      <c r="D50" s="123">
        <v>0.1</v>
      </c>
      <c r="E50" s="7"/>
    </row>
    <row r="51" spans="2:5" x14ac:dyDescent="0.45">
      <c r="B51" s="137" t="s">
        <v>73</v>
      </c>
      <c r="C51" s="137"/>
      <c r="D51" s="123">
        <v>0.2</v>
      </c>
      <c r="E51" s="7"/>
    </row>
    <row r="52" spans="2:5" x14ac:dyDescent="0.45">
      <c r="B52" s="137" t="s">
        <v>77</v>
      </c>
      <c r="C52" s="137"/>
      <c r="D52" s="123">
        <v>0.1</v>
      </c>
      <c r="E52" s="7"/>
    </row>
    <row r="53" spans="2:5" x14ac:dyDescent="0.45">
      <c r="B53" s="134" t="s">
        <v>81</v>
      </c>
      <c r="C53" s="134"/>
      <c r="D53" s="134"/>
      <c r="E53" s="134"/>
    </row>
    <row r="54" spans="2:5" ht="24.75" customHeight="1" x14ac:dyDescent="0.45">
      <c r="B54" s="137" t="s">
        <v>82</v>
      </c>
      <c r="C54" s="137"/>
      <c r="D54" s="123">
        <v>0.25</v>
      </c>
      <c r="E54" s="7"/>
    </row>
    <row r="55" spans="2:5" x14ac:dyDescent="0.45">
      <c r="B55" s="137" t="s">
        <v>86</v>
      </c>
      <c r="C55" s="137"/>
      <c r="D55" s="123">
        <v>0.25</v>
      </c>
      <c r="E55" s="7"/>
    </row>
    <row r="56" spans="2:5" x14ac:dyDescent="0.45">
      <c r="B56" s="137" t="s">
        <v>90</v>
      </c>
      <c r="C56" s="137"/>
      <c r="D56" s="123">
        <v>0.25</v>
      </c>
      <c r="E56" s="7"/>
    </row>
    <row r="57" spans="2:5" x14ac:dyDescent="0.45">
      <c r="B57" s="137" t="s">
        <v>94</v>
      </c>
      <c r="C57" s="137"/>
      <c r="D57" s="123">
        <v>0.25</v>
      </c>
      <c r="E57" s="7"/>
    </row>
    <row r="58" spans="2:5" x14ac:dyDescent="0.45">
      <c r="B58" s="137" t="s">
        <v>98</v>
      </c>
      <c r="C58" s="137"/>
      <c r="D58" s="123">
        <v>0.25</v>
      </c>
      <c r="E58" s="7"/>
    </row>
    <row r="59" spans="2:5" ht="26.25" customHeight="1" x14ac:dyDescent="0.45">
      <c r="B59" s="137" t="s">
        <v>102</v>
      </c>
      <c r="C59" s="137"/>
      <c r="D59" s="123">
        <v>0.25</v>
      </c>
      <c r="E59" s="7"/>
    </row>
    <row r="60" spans="2:5" ht="26.25" customHeight="1" x14ac:dyDescent="0.45">
      <c r="B60" s="138" t="s">
        <v>106</v>
      </c>
      <c r="C60" s="138"/>
      <c r="D60" s="123">
        <v>0.25</v>
      </c>
      <c r="E60" s="7"/>
    </row>
    <row r="61" spans="2:5" ht="53.25" customHeight="1" x14ac:dyDescent="0.45">
      <c r="B61" s="138" t="s">
        <v>27</v>
      </c>
      <c r="C61" s="138"/>
      <c r="D61" s="123">
        <v>0.25</v>
      </c>
      <c r="E61" s="7"/>
    </row>
    <row r="62" spans="2:5" ht="26.25" customHeight="1" x14ac:dyDescent="0.45">
      <c r="B62" s="138" t="s">
        <v>110</v>
      </c>
      <c r="C62" s="138"/>
      <c r="D62" s="123">
        <v>0.25</v>
      </c>
      <c r="E62" s="7"/>
    </row>
    <row r="63" spans="2:5" ht="26.25" customHeight="1" x14ac:dyDescent="0.45">
      <c r="B63" s="137" t="s">
        <v>115</v>
      </c>
      <c r="C63" s="137"/>
      <c r="D63" s="123">
        <v>0.25</v>
      </c>
      <c r="E63" s="7"/>
    </row>
    <row r="64" spans="2:5" ht="26.25" customHeight="1" x14ac:dyDescent="0.45">
      <c r="B64" s="131" t="s">
        <v>120</v>
      </c>
      <c r="C64" s="131"/>
      <c r="D64" s="131"/>
      <c r="E64" s="131"/>
    </row>
    <row r="65" spans="2:9" x14ac:dyDescent="0.45">
      <c r="B65" s="138" t="s">
        <v>121</v>
      </c>
      <c r="C65" s="138"/>
      <c r="D65" s="123">
        <v>0.25</v>
      </c>
      <c r="E65" s="7"/>
    </row>
    <row r="66" spans="2:9" x14ac:dyDescent="0.45">
      <c r="B66" s="138" t="s">
        <v>126</v>
      </c>
      <c r="C66" s="138"/>
      <c r="D66" s="123">
        <v>0.25</v>
      </c>
      <c r="E66" s="7"/>
    </row>
    <row r="67" spans="2:9" x14ac:dyDescent="0.45">
      <c r="B67" s="137" t="s">
        <v>131</v>
      </c>
      <c r="C67" s="137"/>
      <c r="D67" s="123">
        <v>5</v>
      </c>
      <c r="E67" s="7"/>
    </row>
    <row r="68" spans="2:9" x14ac:dyDescent="0.45">
      <c r="B68" s="140" t="s">
        <v>136</v>
      </c>
      <c r="C68" s="140"/>
      <c r="D68" s="123">
        <v>0.25</v>
      </c>
      <c r="E68" s="7"/>
    </row>
    <row r="69" spans="2:9" ht="25.5" customHeight="1" x14ac:dyDescent="0.45">
      <c r="B69" s="96" t="s">
        <v>19</v>
      </c>
      <c r="C69" s="105"/>
      <c r="D69" s="14">
        <v>1</v>
      </c>
      <c r="E69" s="37"/>
    </row>
    <row r="70" spans="2:9" ht="25.5" customHeight="1" x14ac:dyDescent="0.45">
      <c r="B70" s="96" t="s">
        <v>28</v>
      </c>
      <c r="C70" s="105"/>
      <c r="D70" s="14">
        <v>1</v>
      </c>
      <c r="E70" s="37"/>
    </row>
    <row r="71" spans="2:9" ht="14.25" customHeight="1" x14ac:dyDescent="0.45">
      <c r="B71" s="96" t="s">
        <v>20</v>
      </c>
      <c r="C71" s="105"/>
      <c r="D71" s="141">
        <v>0.25</v>
      </c>
      <c r="E71" s="26"/>
    </row>
    <row r="72" spans="2:9" ht="25.5" customHeight="1" thickBot="1" x14ac:dyDescent="0.5">
      <c r="B72" s="106" t="s">
        <v>29</v>
      </c>
      <c r="C72" s="142"/>
      <c r="D72" s="38" t="s">
        <v>30</v>
      </c>
      <c r="E72" s="42"/>
    </row>
    <row r="73" spans="2:9" ht="25.5" customHeight="1" thickBot="1" x14ac:dyDescent="0.5">
      <c r="C73" s="4" t="s">
        <v>17</v>
      </c>
      <c r="D73" s="5">
        <f>SUM(D49:D72)</f>
        <v>11</v>
      </c>
      <c r="E73" s="36">
        <f>SUM(E49:E72)</f>
        <v>0</v>
      </c>
    </row>
    <row r="74" spans="2:9" ht="25.5" customHeight="1" x14ac:dyDescent="0.45">
      <c r="B74" s="3"/>
    </row>
    <row r="75" spans="2:9" ht="14.65" thickBot="1" x14ac:dyDescent="0.5">
      <c r="B75" s="13" t="s">
        <v>63</v>
      </c>
    </row>
    <row r="76" spans="2:9" ht="26.65" thickBot="1" x14ac:dyDescent="0.5">
      <c r="B76" s="97" t="s">
        <v>14</v>
      </c>
      <c r="C76" s="98"/>
      <c r="D76" s="39" t="s">
        <v>15</v>
      </c>
      <c r="E76" s="40">
        <v>1</v>
      </c>
      <c r="F76" s="41">
        <v>2</v>
      </c>
      <c r="G76" s="41">
        <v>3</v>
      </c>
      <c r="H76" s="41">
        <v>4</v>
      </c>
      <c r="I76" s="41">
        <v>5</v>
      </c>
    </row>
    <row r="77" spans="2:9" ht="40.9" customHeight="1" x14ac:dyDescent="0.45">
      <c r="B77" s="118" t="s">
        <v>32</v>
      </c>
      <c r="C77" s="119"/>
      <c r="D77" s="24">
        <v>4</v>
      </c>
      <c r="E77" s="43"/>
      <c r="F77" s="7"/>
      <c r="G77" s="7"/>
      <c r="H77" s="44"/>
      <c r="I77" s="28"/>
    </row>
    <row r="78" spans="2:9" ht="40.9" customHeight="1" x14ac:dyDescent="0.45">
      <c r="B78" s="102" t="s">
        <v>33</v>
      </c>
      <c r="C78" s="103"/>
      <c r="D78" s="25">
        <v>4</v>
      </c>
      <c r="E78" s="43"/>
      <c r="F78" s="7"/>
      <c r="G78" s="7"/>
      <c r="H78" s="44"/>
      <c r="I78" s="28"/>
    </row>
    <row r="79" spans="2:9" ht="40.9" customHeight="1" x14ac:dyDescent="0.45">
      <c r="B79" s="102" t="s">
        <v>34</v>
      </c>
      <c r="C79" s="103"/>
      <c r="D79" s="25">
        <v>3</v>
      </c>
      <c r="E79" s="43"/>
      <c r="F79" s="7"/>
      <c r="G79" s="7"/>
      <c r="H79" s="44"/>
      <c r="I79" s="28"/>
    </row>
    <row r="80" spans="2:9" ht="40.9" customHeight="1" x14ac:dyDescent="0.45">
      <c r="B80" s="102" t="s">
        <v>21</v>
      </c>
      <c r="C80" s="103"/>
      <c r="D80" s="25">
        <v>5</v>
      </c>
      <c r="E80" s="43"/>
      <c r="F80" s="7"/>
      <c r="G80" s="7"/>
      <c r="H80" s="44"/>
      <c r="I80" s="28"/>
    </row>
    <row r="81" spans="2:10" ht="40.9" customHeight="1" x14ac:dyDescent="0.45">
      <c r="B81" s="102" t="s">
        <v>35</v>
      </c>
      <c r="C81" s="103"/>
      <c r="D81" s="25">
        <v>4</v>
      </c>
      <c r="E81" s="43"/>
      <c r="F81" s="7"/>
      <c r="G81" s="7"/>
      <c r="H81" s="44"/>
      <c r="I81" s="28"/>
    </row>
    <row r="82" spans="2:10" ht="40.9" customHeight="1" thickBot="1" x14ac:dyDescent="0.5">
      <c r="B82" s="107" t="s">
        <v>29</v>
      </c>
      <c r="C82" s="108"/>
      <c r="D82" s="46" t="s">
        <v>30</v>
      </c>
      <c r="E82" s="43"/>
      <c r="F82" s="7"/>
      <c r="G82" s="7"/>
      <c r="H82" s="44"/>
      <c r="I82" s="28"/>
    </row>
    <row r="83" spans="2:10" ht="14.65" thickBot="1" x14ac:dyDescent="0.5">
      <c r="C83" s="4" t="s">
        <v>17</v>
      </c>
      <c r="D83" s="45">
        <f>SUM(D77:D82)</f>
        <v>20</v>
      </c>
      <c r="E83" s="47">
        <f>E77+E78+E79+E80+E81+E82</f>
        <v>0</v>
      </c>
      <c r="F83" s="35">
        <f>E77+E78+E79+E80+F81+E82</f>
        <v>0</v>
      </c>
      <c r="G83" s="35">
        <f>E77+E78+E79+E80+G81+E82</f>
        <v>0</v>
      </c>
      <c r="H83" s="35">
        <f>E77+E78+E79+E80+H81+E82</f>
        <v>0</v>
      </c>
      <c r="I83" s="48">
        <f>E77+E78+E79+E80+I81+E82</f>
        <v>0</v>
      </c>
    </row>
    <row r="86" spans="2:10" ht="14.65" thickBot="1" x14ac:dyDescent="0.5">
      <c r="B86" s="143" t="s">
        <v>244</v>
      </c>
      <c r="C86" s="144"/>
      <c r="D86" s="145"/>
      <c r="E86" s="145"/>
      <c r="F86" s="144"/>
      <c r="G86" s="144"/>
      <c r="H86" s="144"/>
      <c r="I86" s="144"/>
    </row>
    <row r="87" spans="2:10" ht="26.65" thickBot="1" x14ac:dyDescent="0.5">
      <c r="B87" s="146" t="s">
        <v>14</v>
      </c>
      <c r="C87" s="146"/>
      <c r="D87" s="147" t="s">
        <v>15</v>
      </c>
      <c r="E87" s="147" t="s">
        <v>31</v>
      </c>
      <c r="F87" s="40">
        <v>1</v>
      </c>
      <c r="G87" s="41">
        <v>2</v>
      </c>
      <c r="H87" s="41">
        <v>3</v>
      </c>
      <c r="I87" s="41">
        <v>4</v>
      </c>
      <c r="J87" s="41">
        <v>5</v>
      </c>
    </row>
    <row r="88" spans="2:10" ht="52.25" customHeight="1" x14ac:dyDescent="0.45">
      <c r="B88" s="148" t="s">
        <v>245</v>
      </c>
      <c r="C88" s="148"/>
      <c r="D88" s="149">
        <v>3</v>
      </c>
      <c r="E88" s="150"/>
      <c r="F88" s="43"/>
      <c r="G88" s="7"/>
      <c r="H88" s="7"/>
      <c r="I88" s="44"/>
      <c r="J88" s="28"/>
    </row>
    <row r="89" spans="2:10" ht="52.25" customHeight="1" x14ac:dyDescent="0.45">
      <c r="B89" s="148" t="s">
        <v>246</v>
      </c>
      <c r="C89" s="148"/>
      <c r="D89" s="149">
        <v>2</v>
      </c>
      <c r="E89" s="150"/>
      <c r="F89" s="43"/>
      <c r="G89" s="7"/>
      <c r="H89" s="7"/>
      <c r="I89" s="44"/>
      <c r="J89" s="28"/>
    </row>
    <row r="90" spans="2:10" ht="52.25" customHeight="1" x14ac:dyDescent="0.45">
      <c r="B90" s="148" t="s">
        <v>247</v>
      </c>
      <c r="C90" s="148"/>
      <c r="D90" s="149">
        <v>2</v>
      </c>
      <c r="E90" s="150"/>
      <c r="F90" s="43"/>
      <c r="G90" s="7"/>
      <c r="H90" s="7"/>
      <c r="I90" s="44"/>
      <c r="J90" s="28"/>
    </row>
    <row r="91" spans="2:10" ht="52.25" customHeight="1" x14ac:dyDescent="0.45">
      <c r="B91" s="148" t="s">
        <v>248</v>
      </c>
      <c r="C91" s="148"/>
      <c r="D91" s="149">
        <v>3</v>
      </c>
      <c r="E91" s="150"/>
      <c r="F91" s="43"/>
      <c r="G91" s="7"/>
      <c r="H91" s="7"/>
      <c r="I91" s="44"/>
      <c r="J91" s="28"/>
    </row>
    <row r="92" spans="2:10" ht="52.25" customHeight="1" x14ac:dyDescent="0.45">
      <c r="B92" s="148" t="s">
        <v>249</v>
      </c>
      <c r="C92" s="148"/>
      <c r="D92" s="149">
        <v>2</v>
      </c>
      <c r="E92" s="150"/>
      <c r="F92" s="43"/>
      <c r="G92" s="7"/>
      <c r="H92" s="7"/>
      <c r="I92" s="44"/>
      <c r="J92" s="28"/>
    </row>
    <row r="93" spans="2:10" ht="52.25" customHeight="1" thickBot="1" x14ac:dyDescent="0.5">
      <c r="B93" s="148" t="s">
        <v>250</v>
      </c>
      <c r="C93" s="148"/>
      <c r="D93" s="149">
        <v>8</v>
      </c>
      <c r="E93" s="150"/>
      <c r="F93" s="43"/>
      <c r="G93" s="7"/>
      <c r="H93" s="7"/>
      <c r="I93" s="44"/>
      <c r="J93" s="28"/>
    </row>
    <row r="94" spans="2:10" ht="52.25" customHeight="1" thickBot="1" x14ac:dyDescent="0.5">
      <c r="B94" s="151"/>
      <c r="C94" s="152" t="s">
        <v>17</v>
      </c>
      <c r="D94" s="153">
        <f>SUM(D88:D93)</f>
        <v>20</v>
      </c>
      <c r="E94" s="154">
        <f>SUM(E88:E93)</f>
        <v>0</v>
      </c>
      <c r="F94" s="47">
        <f>F88+F89+F90+F91+F92+F93</f>
        <v>0</v>
      </c>
      <c r="G94" s="35">
        <f>F88+F89+F90+F91+G92+F93</f>
        <v>0</v>
      </c>
      <c r="H94" s="35">
        <f>F88+F89+F90+F91+H92+F93</f>
        <v>0</v>
      </c>
      <c r="I94" s="35">
        <f>F88+F89+F90+F91+I92+F93</f>
        <v>0</v>
      </c>
      <c r="J94" s="155">
        <f>F88+F89+F90+F91+J92+F93</f>
        <v>0</v>
      </c>
    </row>
    <row r="97" spans="2:8" ht="14.65" thickBot="1" x14ac:dyDescent="0.5">
      <c r="C97" s="33"/>
      <c r="D97" s="34"/>
      <c r="E97" s="34"/>
      <c r="F97" s="34"/>
      <c r="G97" s="34"/>
    </row>
    <row r="98" spans="2:8" ht="14.65" thickBot="1" x14ac:dyDescent="0.5">
      <c r="B98" s="97" t="s">
        <v>25</v>
      </c>
      <c r="C98" s="98"/>
      <c r="D98" s="98"/>
      <c r="E98" s="98"/>
      <c r="F98" s="98"/>
      <c r="G98" s="98"/>
      <c r="H98" s="104"/>
    </row>
    <row r="99" spans="2:8" ht="78" customHeight="1" thickBot="1" x14ac:dyDescent="0.5">
      <c r="B99" s="90"/>
      <c r="C99" s="91"/>
      <c r="D99" s="91"/>
      <c r="E99" s="91"/>
      <c r="F99" s="91"/>
      <c r="G99" s="91"/>
      <c r="H99" s="92"/>
    </row>
  </sheetData>
  <mergeCells count="70">
    <mergeCell ref="B91:C91"/>
    <mergeCell ref="B92:C92"/>
    <mergeCell ref="B93:C93"/>
    <mergeCell ref="B98:H98"/>
    <mergeCell ref="B99:H99"/>
    <mergeCell ref="B82:C82"/>
    <mergeCell ref="B87:C87"/>
    <mergeCell ref="B88:C88"/>
    <mergeCell ref="B89:C89"/>
    <mergeCell ref="B90:C90"/>
    <mergeCell ref="B77:C77"/>
    <mergeCell ref="B78:C78"/>
    <mergeCell ref="B79:C79"/>
    <mergeCell ref="B80:C80"/>
    <mergeCell ref="B81:C81"/>
    <mergeCell ref="B64:E64"/>
    <mergeCell ref="B65:C65"/>
    <mergeCell ref="B66:C66"/>
    <mergeCell ref="B67:C67"/>
    <mergeCell ref="B76:C76"/>
    <mergeCell ref="B68:C68"/>
    <mergeCell ref="B48:C48"/>
    <mergeCell ref="F2:I2"/>
    <mergeCell ref="B23:C23"/>
    <mergeCell ref="B24:E24"/>
    <mergeCell ref="B25:C25"/>
    <mergeCell ref="B26:C26"/>
    <mergeCell ref="B35:C35"/>
    <mergeCell ref="B36:C36"/>
    <mergeCell ref="B38:E38"/>
    <mergeCell ref="B53:E53"/>
    <mergeCell ref="B55:C55"/>
    <mergeCell ref="B56:C56"/>
    <mergeCell ref="C6:F6"/>
    <mergeCell ref="C7:F7"/>
    <mergeCell ref="C8:F8"/>
    <mergeCell ref="C9:F9"/>
    <mergeCell ref="B63:C63"/>
    <mergeCell ref="B49:C49"/>
    <mergeCell ref="B58:C58"/>
    <mergeCell ref="B59:C59"/>
    <mergeCell ref="B20:C20"/>
    <mergeCell ref="B21:C21"/>
    <mergeCell ref="B22:C22"/>
    <mergeCell ref="B61:C61"/>
    <mergeCell ref="B57:C57"/>
    <mergeCell ref="B4:I4"/>
    <mergeCell ref="B69:C69"/>
    <mergeCell ref="B70:C70"/>
    <mergeCell ref="B71:C71"/>
    <mergeCell ref="B72:C72"/>
    <mergeCell ref="B30:C30"/>
    <mergeCell ref="B54:C54"/>
    <mergeCell ref="B62:C62"/>
    <mergeCell ref="B51:C51"/>
    <mergeCell ref="B52:C52"/>
    <mergeCell ref="C11:E11"/>
    <mergeCell ref="B42:C42"/>
    <mergeCell ref="B41:C41"/>
    <mergeCell ref="B39:C39"/>
    <mergeCell ref="B40:C40"/>
    <mergeCell ref="B27:C27"/>
    <mergeCell ref="B12:B16"/>
    <mergeCell ref="B19:C19"/>
    <mergeCell ref="B31:C31"/>
    <mergeCell ref="B37:C37"/>
    <mergeCell ref="B28:C28"/>
    <mergeCell ref="B29:C29"/>
    <mergeCell ref="B50:C50"/>
    <mergeCell ref="B60:C60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D36E-095C-47B5-8686-5F19147FFDF1}">
  <dimension ref="B1:I74"/>
  <sheetViews>
    <sheetView workbookViewId="0">
      <selection activeCell="F70" sqref="F70"/>
    </sheetView>
  </sheetViews>
  <sheetFormatPr defaultColWidth="10.6640625" defaultRowHeight="14.25" x14ac:dyDescent="0.45"/>
  <cols>
    <col min="1" max="1" width="5" customWidth="1"/>
    <col min="2" max="2" width="21.59765625" customWidth="1"/>
    <col min="3" max="3" width="7.265625" bestFit="1" customWidth="1"/>
    <col min="4" max="7" width="23.73046875" customWidth="1"/>
    <col min="8" max="8" width="10.3984375" bestFit="1" customWidth="1"/>
  </cols>
  <sheetData>
    <row r="1" spans="2:9" x14ac:dyDescent="0.45">
      <c r="G1" s="87" t="s">
        <v>66</v>
      </c>
      <c r="I1" s="87"/>
    </row>
    <row r="2" spans="2:9" ht="33.75" customHeight="1" x14ac:dyDescent="0.45">
      <c r="E2" s="120" t="s">
        <v>67</v>
      </c>
      <c r="F2" s="120"/>
      <c r="G2" s="120"/>
      <c r="H2" s="89"/>
      <c r="I2" s="89"/>
    </row>
    <row r="3" spans="2:9" ht="23.25" x14ac:dyDescent="0.45">
      <c r="B3" s="121" t="s">
        <v>0</v>
      </c>
      <c r="C3" s="121"/>
      <c r="D3" s="121"/>
      <c r="E3" s="121"/>
      <c r="F3" s="121"/>
      <c r="G3" s="121"/>
      <c r="H3" s="121"/>
    </row>
    <row r="4" spans="2:9" x14ac:dyDescent="0.45">
      <c r="B4" s="2"/>
      <c r="D4" s="122"/>
    </row>
    <row r="5" spans="2:9" x14ac:dyDescent="0.45">
      <c r="B5" s="10" t="s">
        <v>26</v>
      </c>
      <c r="D5" s="122"/>
    </row>
    <row r="6" spans="2:9" x14ac:dyDescent="0.45">
      <c r="B6" s="10"/>
      <c r="D6" s="122"/>
    </row>
    <row r="7" spans="2:9" ht="14.65" thickBot="1" x14ac:dyDescent="0.5">
      <c r="B7" s="10" t="s">
        <v>13</v>
      </c>
      <c r="D7" s="122"/>
    </row>
    <row r="8" spans="2:9" ht="26.65" thickBot="1" x14ac:dyDescent="0.5">
      <c r="B8" s="39" t="s">
        <v>14</v>
      </c>
      <c r="C8" s="40" t="s">
        <v>15</v>
      </c>
      <c r="D8" s="66" t="s">
        <v>40</v>
      </c>
      <c r="E8" s="66" t="s">
        <v>68</v>
      </c>
      <c r="F8" s="66" t="s">
        <v>41</v>
      </c>
      <c r="G8" s="66" t="s">
        <v>42</v>
      </c>
    </row>
    <row r="9" spans="2:9" ht="39.75" thickBot="1" x14ac:dyDescent="0.5">
      <c r="B9" s="57" t="s">
        <v>69</v>
      </c>
      <c r="C9" s="123">
        <v>0.25</v>
      </c>
      <c r="D9" s="67" t="s">
        <v>43</v>
      </c>
      <c r="E9" s="68" t="s">
        <v>46</v>
      </c>
      <c r="F9" s="68" t="s">
        <v>45</v>
      </c>
      <c r="G9" s="8" t="s">
        <v>44</v>
      </c>
    </row>
    <row r="10" spans="2:9" ht="39.75" thickBot="1" x14ac:dyDescent="0.5">
      <c r="B10" s="58" t="s">
        <v>16</v>
      </c>
      <c r="C10" s="123">
        <v>0.25</v>
      </c>
      <c r="D10" s="124" t="s">
        <v>70</v>
      </c>
      <c r="E10" s="125" t="s">
        <v>71</v>
      </c>
      <c r="F10" s="126" t="s">
        <v>72</v>
      </c>
      <c r="G10" s="8" t="s">
        <v>44</v>
      </c>
    </row>
    <row r="11" spans="2:9" ht="39.75" thickBot="1" x14ac:dyDescent="0.5">
      <c r="B11" s="58" t="s">
        <v>73</v>
      </c>
      <c r="C11" s="123">
        <v>1</v>
      </c>
      <c r="D11" s="124" t="s">
        <v>74</v>
      </c>
      <c r="E11" s="125" t="s">
        <v>75</v>
      </c>
      <c r="F11" s="126" t="s">
        <v>76</v>
      </c>
      <c r="G11" s="8" t="s">
        <v>44</v>
      </c>
    </row>
    <row r="12" spans="2:9" ht="26.65" thickBot="1" x14ac:dyDescent="0.5">
      <c r="B12" s="58" t="s">
        <v>77</v>
      </c>
      <c r="C12" s="123">
        <v>0.5</v>
      </c>
      <c r="D12" s="124" t="s">
        <v>78</v>
      </c>
      <c r="E12" s="125" t="s">
        <v>79</v>
      </c>
      <c r="F12" s="125" t="s">
        <v>80</v>
      </c>
      <c r="G12" s="8" t="s">
        <v>44</v>
      </c>
    </row>
    <row r="13" spans="2:9" ht="14.65" thickBot="1" x14ac:dyDescent="0.5">
      <c r="B13" s="127" t="s">
        <v>81</v>
      </c>
      <c r="C13" s="128"/>
      <c r="D13" s="124"/>
      <c r="E13" s="125"/>
      <c r="F13" s="125"/>
      <c r="G13" s="8" t="s">
        <v>44</v>
      </c>
    </row>
    <row r="14" spans="2:9" ht="39.75" thickBot="1" x14ac:dyDescent="0.5">
      <c r="B14" s="58" t="s">
        <v>82</v>
      </c>
      <c r="C14" s="123">
        <v>0.25</v>
      </c>
      <c r="D14" s="124" t="s">
        <v>83</v>
      </c>
      <c r="E14" s="125" t="s">
        <v>84</v>
      </c>
      <c r="F14" s="125" t="s">
        <v>85</v>
      </c>
      <c r="G14" s="8" t="s">
        <v>44</v>
      </c>
    </row>
    <row r="15" spans="2:9" ht="26.65" thickBot="1" x14ac:dyDescent="0.5">
      <c r="B15" s="58" t="s">
        <v>86</v>
      </c>
      <c r="C15" s="123">
        <v>0.25</v>
      </c>
      <c r="D15" s="124" t="s">
        <v>87</v>
      </c>
      <c r="E15" s="125" t="s">
        <v>88</v>
      </c>
      <c r="F15" s="125" t="s">
        <v>89</v>
      </c>
      <c r="G15" s="8" t="s">
        <v>44</v>
      </c>
    </row>
    <row r="16" spans="2:9" ht="26.65" thickBot="1" x14ac:dyDescent="0.5">
      <c r="B16" s="58" t="s">
        <v>90</v>
      </c>
      <c r="C16" s="123">
        <v>0.25</v>
      </c>
      <c r="D16" s="124" t="s">
        <v>91</v>
      </c>
      <c r="E16" s="125" t="s">
        <v>92</v>
      </c>
      <c r="F16" s="125" t="s">
        <v>93</v>
      </c>
      <c r="G16" s="8" t="s">
        <v>44</v>
      </c>
    </row>
    <row r="17" spans="2:7" ht="28.9" thickBot="1" x14ac:dyDescent="0.5">
      <c r="B17" s="58" t="s">
        <v>94</v>
      </c>
      <c r="C17" s="123">
        <v>0.25</v>
      </c>
      <c r="D17" s="124" t="s">
        <v>95</v>
      </c>
      <c r="E17" s="126" t="s">
        <v>96</v>
      </c>
      <c r="F17" s="125" t="s">
        <v>97</v>
      </c>
      <c r="G17" s="8" t="s">
        <v>44</v>
      </c>
    </row>
    <row r="18" spans="2:7" ht="43.15" thickBot="1" x14ac:dyDescent="0.5">
      <c r="B18" s="58" t="s">
        <v>98</v>
      </c>
      <c r="C18" s="123">
        <v>0.25</v>
      </c>
      <c r="D18" s="43" t="s">
        <v>99</v>
      </c>
      <c r="E18" s="126" t="s">
        <v>100</v>
      </c>
      <c r="F18" s="7" t="s">
        <v>101</v>
      </c>
      <c r="G18" s="8" t="s">
        <v>44</v>
      </c>
    </row>
    <row r="19" spans="2:7" ht="39.75" thickBot="1" x14ac:dyDescent="0.5">
      <c r="B19" s="62" t="s">
        <v>102</v>
      </c>
      <c r="C19" s="123">
        <v>0.25</v>
      </c>
      <c r="D19" s="43" t="s">
        <v>103</v>
      </c>
      <c r="E19" s="7" t="s">
        <v>104</v>
      </c>
      <c r="F19" s="7" t="s">
        <v>105</v>
      </c>
      <c r="G19" s="8" t="s">
        <v>44</v>
      </c>
    </row>
    <row r="20" spans="2:7" ht="39.75" thickBot="1" x14ac:dyDescent="0.5">
      <c r="B20" s="63" t="s">
        <v>106</v>
      </c>
      <c r="C20" s="123">
        <v>0.5</v>
      </c>
      <c r="D20" s="69" t="s">
        <v>107</v>
      </c>
      <c r="E20" s="70" t="s">
        <v>108</v>
      </c>
      <c r="F20" s="70" t="s">
        <v>109</v>
      </c>
      <c r="G20" s="8" t="s">
        <v>44</v>
      </c>
    </row>
    <row r="21" spans="2:7" x14ac:dyDescent="0.45">
      <c r="B21" s="3"/>
      <c r="D21" s="122"/>
    </row>
    <row r="22" spans="2:7" ht="14.65" thickBot="1" x14ac:dyDescent="0.5">
      <c r="B22" s="10" t="s">
        <v>18</v>
      </c>
      <c r="D22" s="122"/>
    </row>
    <row r="23" spans="2:7" ht="26.25" x14ac:dyDescent="0.45">
      <c r="B23" s="65" t="s">
        <v>14</v>
      </c>
      <c r="C23" s="65" t="s">
        <v>15</v>
      </c>
      <c r="D23" s="66" t="s">
        <v>40</v>
      </c>
      <c r="E23" s="66" t="s">
        <v>68</v>
      </c>
      <c r="F23" s="66" t="s">
        <v>41</v>
      </c>
      <c r="G23" s="66" t="s">
        <v>42</v>
      </c>
    </row>
    <row r="24" spans="2:7" ht="42.75" x14ac:dyDescent="0.45">
      <c r="B24" s="129" t="s">
        <v>110</v>
      </c>
      <c r="C24" s="123">
        <v>0.25</v>
      </c>
      <c r="D24" s="130" t="s">
        <v>111</v>
      </c>
      <c r="E24" s="130" t="s">
        <v>112</v>
      </c>
      <c r="F24" s="130" t="s">
        <v>113</v>
      </c>
      <c r="G24" s="130" t="s">
        <v>114</v>
      </c>
    </row>
    <row r="25" spans="2:7" ht="42.75" x14ac:dyDescent="0.45">
      <c r="B25" s="129" t="s">
        <v>115</v>
      </c>
      <c r="C25" s="123">
        <v>0.25</v>
      </c>
      <c r="D25" s="130" t="s">
        <v>116</v>
      </c>
      <c r="E25" s="130" t="s">
        <v>117</v>
      </c>
      <c r="F25" s="130" t="s">
        <v>118</v>
      </c>
      <c r="G25" s="130" t="s">
        <v>119</v>
      </c>
    </row>
    <row r="26" spans="2:7" x14ac:dyDescent="0.45">
      <c r="B26" s="131" t="s">
        <v>120</v>
      </c>
      <c r="C26" s="131"/>
      <c r="D26" s="131"/>
      <c r="E26" s="131"/>
      <c r="F26" s="131"/>
      <c r="G26" s="131"/>
    </row>
    <row r="27" spans="2:7" ht="28.5" x14ac:dyDescent="0.45">
      <c r="B27" s="129" t="s">
        <v>121</v>
      </c>
      <c r="C27" s="123">
        <v>0.5</v>
      </c>
      <c r="D27" s="130" t="s">
        <v>122</v>
      </c>
      <c r="E27" s="130" t="s">
        <v>123</v>
      </c>
      <c r="F27" s="130" t="s">
        <v>124</v>
      </c>
      <c r="G27" s="130" t="s">
        <v>125</v>
      </c>
    </row>
    <row r="28" spans="2:7" ht="42.75" x14ac:dyDescent="0.45">
      <c r="B28" s="132" t="s">
        <v>126</v>
      </c>
      <c r="C28" s="123">
        <v>1</v>
      </c>
      <c r="D28" s="130" t="s">
        <v>127</v>
      </c>
      <c r="E28" s="130" t="s">
        <v>128</v>
      </c>
      <c r="F28" s="130" t="s">
        <v>129</v>
      </c>
      <c r="G28" s="130" t="s">
        <v>130</v>
      </c>
    </row>
    <row r="29" spans="2:7" ht="57" x14ac:dyDescent="0.45">
      <c r="B29" s="132" t="s">
        <v>131</v>
      </c>
      <c r="C29" s="123">
        <v>2</v>
      </c>
      <c r="D29" s="130" t="s">
        <v>132</v>
      </c>
      <c r="E29" s="130" t="s">
        <v>133</v>
      </c>
      <c r="F29" s="130" t="s">
        <v>134</v>
      </c>
      <c r="G29" s="130" t="s">
        <v>135</v>
      </c>
    </row>
    <row r="30" spans="2:7" ht="42.75" x14ac:dyDescent="0.45">
      <c r="B30" s="133" t="s">
        <v>136</v>
      </c>
      <c r="C30" s="123">
        <v>1</v>
      </c>
      <c r="D30" s="130" t="s">
        <v>137</v>
      </c>
      <c r="E30" s="130" t="s">
        <v>138</v>
      </c>
      <c r="F30" s="130" t="s">
        <v>139</v>
      </c>
      <c r="G30" s="130" t="s">
        <v>140</v>
      </c>
    </row>
    <row r="31" spans="2:7" x14ac:dyDescent="0.45">
      <c r="B31" s="3"/>
      <c r="D31" s="122"/>
    </row>
    <row r="32" spans="2:7" ht="14.65" thickBot="1" x14ac:dyDescent="0.5">
      <c r="B32" s="10" t="s">
        <v>36</v>
      </c>
      <c r="D32" s="122"/>
    </row>
    <row r="33" spans="2:7" ht="26.65" thickBot="1" x14ac:dyDescent="0.5">
      <c r="B33" s="39" t="s">
        <v>14</v>
      </c>
      <c r="C33" s="40" t="s">
        <v>15</v>
      </c>
      <c r="D33" s="66" t="s">
        <v>40</v>
      </c>
      <c r="E33" s="66" t="s">
        <v>68</v>
      </c>
      <c r="F33" s="66" t="s">
        <v>41</v>
      </c>
      <c r="G33" s="66" t="s">
        <v>42</v>
      </c>
    </row>
    <row r="34" spans="2:7" ht="28.5" x14ac:dyDescent="0.45">
      <c r="B34" s="60" t="s">
        <v>69</v>
      </c>
      <c r="C34" s="24">
        <v>0.1</v>
      </c>
      <c r="D34" s="122" t="s">
        <v>141</v>
      </c>
      <c r="E34" s="122" t="s">
        <v>142</v>
      </c>
      <c r="F34" s="122" t="s">
        <v>143</v>
      </c>
      <c r="G34" s="122" t="s">
        <v>144</v>
      </c>
    </row>
    <row r="35" spans="2:7" ht="28.5" x14ac:dyDescent="0.45">
      <c r="B35" s="55" t="s">
        <v>16</v>
      </c>
      <c r="C35" s="71">
        <v>0.1</v>
      </c>
      <c r="D35" s="122" t="s">
        <v>145</v>
      </c>
      <c r="E35" s="122" t="s">
        <v>146</v>
      </c>
      <c r="F35" s="122" t="s">
        <v>147</v>
      </c>
      <c r="G35" s="122" t="s">
        <v>148</v>
      </c>
    </row>
    <row r="36" spans="2:7" ht="42.75" x14ac:dyDescent="0.45">
      <c r="B36" s="55" t="s">
        <v>73</v>
      </c>
      <c r="C36" s="71">
        <v>0.2</v>
      </c>
      <c r="D36" s="122" t="s">
        <v>149</v>
      </c>
      <c r="E36" s="122" t="s">
        <v>150</v>
      </c>
      <c r="F36" s="122" t="s">
        <v>151</v>
      </c>
      <c r="G36" s="122" t="s">
        <v>152</v>
      </c>
    </row>
    <row r="37" spans="2:7" ht="42.75" x14ac:dyDescent="0.45">
      <c r="B37" s="55" t="s">
        <v>77</v>
      </c>
      <c r="C37" s="71">
        <v>0.1</v>
      </c>
      <c r="D37" s="122" t="s">
        <v>153</v>
      </c>
      <c r="E37" s="122" t="s">
        <v>154</v>
      </c>
      <c r="F37" s="122" t="s">
        <v>155</v>
      </c>
      <c r="G37" s="122" t="s">
        <v>156</v>
      </c>
    </row>
    <row r="38" spans="2:7" x14ac:dyDescent="0.45">
      <c r="B38" s="134" t="s">
        <v>81</v>
      </c>
      <c r="C38" s="134"/>
      <c r="D38" s="134"/>
      <c r="E38" s="134"/>
      <c r="F38" s="7"/>
      <c r="G38" s="28"/>
    </row>
    <row r="39" spans="2:7" ht="28.5" x14ac:dyDescent="0.45">
      <c r="B39" s="61" t="s">
        <v>82</v>
      </c>
      <c r="C39" s="72">
        <v>0.25</v>
      </c>
      <c r="D39" s="122" t="s">
        <v>157</v>
      </c>
      <c r="E39" s="122" t="s">
        <v>158</v>
      </c>
      <c r="F39" s="122" t="s">
        <v>159</v>
      </c>
      <c r="G39" s="122" t="s">
        <v>160</v>
      </c>
    </row>
    <row r="40" spans="2:7" ht="28.5" x14ac:dyDescent="0.45">
      <c r="B40" s="61" t="s">
        <v>86</v>
      </c>
      <c r="C40" s="72">
        <v>0.25</v>
      </c>
      <c r="D40" s="122" t="s">
        <v>161</v>
      </c>
      <c r="E40" s="122" t="s">
        <v>162</v>
      </c>
      <c r="F40" s="122" t="s">
        <v>163</v>
      </c>
      <c r="G40" s="122" t="s">
        <v>164</v>
      </c>
    </row>
    <row r="41" spans="2:7" ht="28.5" x14ac:dyDescent="0.45">
      <c r="B41" s="61" t="s">
        <v>90</v>
      </c>
      <c r="C41" s="72">
        <v>0.25</v>
      </c>
      <c r="D41" s="122" t="s">
        <v>165</v>
      </c>
      <c r="E41" s="122" t="s">
        <v>166</v>
      </c>
      <c r="F41" s="122" t="s">
        <v>167</v>
      </c>
      <c r="G41" s="122" t="s">
        <v>168</v>
      </c>
    </row>
    <row r="42" spans="2:7" ht="28.5" x14ac:dyDescent="0.45">
      <c r="B42" s="61" t="s">
        <v>94</v>
      </c>
      <c r="C42" s="72">
        <v>0.25</v>
      </c>
      <c r="D42" s="122" t="s">
        <v>169</v>
      </c>
      <c r="E42" s="122" t="s">
        <v>96</v>
      </c>
      <c r="F42" s="122" t="s">
        <v>170</v>
      </c>
      <c r="G42" s="122" t="s">
        <v>171</v>
      </c>
    </row>
    <row r="43" spans="2:7" ht="28.5" x14ac:dyDescent="0.45">
      <c r="B43" s="61" t="s">
        <v>98</v>
      </c>
      <c r="C43" s="72">
        <v>0.25</v>
      </c>
      <c r="D43" s="122" t="s">
        <v>172</v>
      </c>
      <c r="E43" s="122" t="s">
        <v>173</v>
      </c>
      <c r="F43" s="122" t="s">
        <v>174</v>
      </c>
      <c r="G43" s="122" t="s">
        <v>175</v>
      </c>
    </row>
    <row r="44" spans="2:7" ht="28.5" x14ac:dyDescent="0.45">
      <c r="B44" s="61" t="s">
        <v>102</v>
      </c>
      <c r="C44" s="72">
        <v>0.25</v>
      </c>
      <c r="D44" s="122" t="s">
        <v>176</v>
      </c>
      <c r="E44" s="122" t="s">
        <v>177</v>
      </c>
      <c r="F44" s="122" t="s">
        <v>178</v>
      </c>
      <c r="G44" s="122" t="s">
        <v>179</v>
      </c>
    </row>
    <row r="45" spans="2:7" ht="42.75" x14ac:dyDescent="0.45">
      <c r="B45" s="61" t="s">
        <v>106</v>
      </c>
      <c r="C45" s="72">
        <v>0.25</v>
      </c>
      <c r="D45" s="122" t="s">
        <v>180</v>
      </c>
      <c r="E45" s="122" t="s">
        <v>181</v>
      </c>
      <c r="F45" s="122" t="s">
        <v>182</v>
      </c>
      <c r="G45" s="122" t="s">
        <v>183</v>
      </c>
    </row>
    <row r="46" spans="2:7" ht="42.75" x14ac:dyDescent="0.45">
      <c r="B46" s="61" t="s">
        <v>27</v>
      </c>
      <c r="C46" s="72">
        <v>0.25</v>
      </c>
      <c r="D46" s="122" t="s">
        <v>184</v>
      </c>
      <c r="E46" s="122" t="s">
        <v>185</v>
      </c>
      <c r="F46" s="122" t="s">
        <v>186</v>
      </c>
      <c r="G46" s="122" t="s">
        <v>187</v>
      </c>
    </row>
    <row r="47" spans="2:7" ht="42.75" x14ac:dyDescent="0.45">
      <c r="B47" s="61" t="s">
        <v>110</v>
      </c>
      <c r="C47" s="72">
        <v>0.25</v>
      </c>
      <c r="D47" s="122" t="s">
        <v>188</v>
      </c>
      <c r="E47" s="122" t="s">
        <v>189</v>
      </c>
      <c r="F47" s="122" t="s">
        <v>190</v>
      </c>
      <c r="G47" s="122" t="s">
        <v>191</v>
      </c>
    </row>
    <row r="48" spans="2:7" ht="42.75" x14ac:dyDescent="0.45">
      <c r="B48" s="61" t="s">
        <v>115</v>
      </c>
      <c r="C48" s="72">
        <v>0.25</v>
      </c>
      <c r="D48" s="122" t="s">
        <v>192</v>
      </c>
      <c r="E48" s="122" t="s">
        <v>193</v>
      </c>
      <c r="F48" s="122" t="s">
        <v>194</v>
      </c>
      <c r="G48" s="122" t="s">
        <v>195</v>
      </c>
    </row>
    <row r="49" spans="2:7" x14ac:dyDescent="0.45">
      <c r="B49" s="131" t="s">
        <v>120</v>
      </c>
      <c r="C49" s="131"/>
      <c r="D49" s="131"/>
      <c r="E49" s="131"/>
      <c r="F49" s="7"/>
      <c r="G49" s="28"/>
    </row>
    <row r="50" spans="2:7" ht="42.75" x14ac:dyDescent="0.45">
      <c r="B50" s="61" t="s">
        <v>121</v>
      </c>
      <c r="C50" s="72">
        <v>0.25</v>
      </c>
      <c r="D50" s="122" t="s">
        <v>196</v>
      </c>
      <c r="E50" s="122" t="s">
        <v>197</v>
      </c>
      <c r="F50" s="122" t="s">
        <v>198</v>
      </c>
      <c r="G50" s="122" t="s">
        <v>199</v>
      </c>
    </row>
    <row r="51" spans="2:7" ht="42.75" x14ac:dyDescent="0.45">
      <c r="B51" s="61" t="s">
        <v>126</v>
      </c>
      <c r="C51" s="72">
        <v>0.25</v>
      </c>
      <c r="D51" s="122" t="s">
        <v>200</v>
      </c>
      <c r="E51" s="122" t="s">
        <v>201</v>
      </c>
      <c r="F51" s="122" t="s">
        <v>202</v>
      </c>
      <c r="G51" s="122" t="s">
        <v>203</v>
      </c>
    </row>
    <row r="52" spans="2:7" ht="42.75" x14ac:dyDescent="0.45">
      <c r="B52" s="61" t="s">
        <v>131</v>
      </c>
      <c r="C52" s="72">
        <v>5</v>
      </c>
      <c r="D52" s="122" t="s">
        <v>204</v>
      </c>
      <c r="E52" s="122" t="s">
        <v>205</v>
      </c>
      <c r="F52" s="122" t="s">
        <v>206</v>
      </c>
      <c r="G52" s="122" t="s">
        <v>207</v>
      </c>
    </row>
    <row r="53" spans="2:7" ht="42.75" x14ac:dyDescent="0.45">
      <c r="B53" s="61" t="s">
        <v>136</v>
      </c>
      <c r="C53" s="72">
        <v>0.25</v>
      </c>
      <c r="D53" s="122" t="s">
        <v>208</v>
      </c>
      <c r="E53" s="122" t="s">
        <v>209</v>
      </c>
      <c r="F53" s="122" t="s">
        <v>210</v>
      </c>
      <c r="G53" s="122" t="s">
        <v>140</v>
      </c>
    </row>
    <row r="54" spans="2:7" ht="28.5" x14ac:dyDescent="0.45">
      <c r="B54" s="55" t="s">
        <v>19</v>
      </c>
      <c r="C54" s="72">
        <v>1</v>
      </c>
      <c r="D54" s="122" t="s">
        <v>211</v>
      </c>
      <c r="E54" s="122" t="s">
        <v>212</v>
      </c>
      <c r="F54" s="122" t="s">
        <v>213</v>
      </c>
      <c r="G54" s="122" t="s">
        <v>214</v>
      </c>
    </row>
    <row r="55" spans="2:7" ht="42.75" x14ac:dyDescent="0.45">
      <c r="B55" s="55" t="s">
        <v>28</v>
      </c>
      <c r="C55" s="72">
        <v>1</v>
      </c>
      <c r="D55" s="122" t="s">
        <v>215</v>
      </c>
      <c r="E55" s="122" t="s">
        <v>216</v>
      </c>
      <c r="F55" s="122" t="s">
        <v>217</v>
      </c>
      <c r="G55" s="122" t="s">
        <v>218</v>
      </c>
    </row>
    <row r="56" spans="2:7" ht="28.5" x14ac:dyDescent="0.45">
      <c r="B56" s="55" t="s">
        <v>20</v>
      </c>
      <c r="C56" s="72">
        <v>0.25</v>
      </c>
      <c r="D56" s="122" t="s">
        <v>219</v>
      </c>
      <c r="E56" s="122" t="s">
        <v>220</v>
      </c>
      <c r="F56" s="122" t="s">
        <v>221</v>
      </c>
      <c r="G56" s="122" t="s">
        <v>222</v>
      </c>
    </row>
    <row r="57" spans="2:7" ht="57.4" thickBot="1" x14ac:dyDescent="0.5">
      <c r="B57" s="59" t="s">
        <v>29</v>
      </c>
      <c r="C57" s="46" t="s">
        <v>30</v>
      </c>
      <c r="D57" s="122" t="s">
        <v>223</v>
      </c>
      <c r="E57" s="126" t="s">
        <v>224</v>
      </c>
      <c r="F57" s="126" t="s">
        <v>225</v>
      </c>
      <c r="G57" s="126" t="s">
        <v>226</v>
      </c>
    </row>
    <row r="58" spans="2:7" x14ac:dyDescent="0.45">
      <c r="B58" s="3"/>
      <c r="D58" s="122"/>
    </row>
    <row r="59" spans="2:7" ht="14.65" thickBot="1" x14ac:dyDescent="0.5">
      <c r="B59" s="13" t="s">
        <v>37</v>
      </c>
      <c r="D59" s="122"/>
    </row>
    <row r="60" spans="2:7" ht="26.65" thickBot="1" x14ac:dyDescent="0.5">
      <c r="B60" s="39" t="s">
        <v>14</v>
      </c>
      <c r="C60" s="39" t="s">
        <v>15</v>
      </c>
      <c r="D60" s="66" t="s">
        <v>40</v>
      </c>
      <c r="E60" s="66" t="s">
        <v>68</v>
      </c>
      <c r="F60" s="66" t="s">
        <v>41</v>
      </c>
      <c r="G60" s="66" t="s">
        <v>42</v>
      </c>
    </row>
    <row r="61" spans="2:7" ht="42.75" x14ac:dyDescent="0.45">
      <c r="B61" s="56" t="s">
        <v>48</v>
      </c>
      <c r="C61" s="24">
        <v>4</v>
      </c>
      <c r="D61" s="84" t="s">
        <v>53</v>
      </c>
      <c r="E61" s="122" t="s">
        <v>227</v>
      </c>
      <c r="F61" s="122" t="s">
        <v>228</v>
      </c>
      <c r="G61" s="122" t="s">
        <v>229</v>
      </c>
    </row>
    <row r="62" spans="2:7" ht="57" x14ac:dyDescent="0.45">
      <c r="B62" s="54" t="s">
        <v>47</v>
      </c>
      <c r="C62" s="25">
        <v>4</v>
      </c>
      <c r="D62" s="85" t="s">
        <v>54</v>
      </c>
      <c r="E62" s="122" t="s">
        <v>230</v>
      </c>
      <c r="F62" s="122" t="s">
        <v>231</v>
      </c>
      <c r="G62" s="122" t="s">
        <v>232</v>
      </c>
    </row>
    <row r="63" spans="2:7" ht="65.650000000000006" x14ac:dyDescent="0.45">
      <c r="B63" s="54" t="s">
        <v>49</v>
      </c>
      <c r="C63" s="25">
        <v>3</v>
      </c>
      <c r="D63" s="85" t="s">
        <v>55</v>
      </c>
      <c r="E63" s="122" t="s">
        <v>233</v>
      </c>
      <c r="F63" s="122" t="s">
        <v>234</v>
      </c>
      <c r="G63" s="122" t="s">
        <v>235</v>
      </c>
    </row>
    <row r="64" spans="2:7" ht="57" x14ac:dyDescent="0.45">
      <c r="B64" s="54" t="s">
        <v>51</v>
      </c>
      <c r="C64" s="25">
        <v>5</v>
      </c>
      <c r="D64" s="85" t="s">
        <v>56</v>
      </c>
      <c r="E64" s="122" t="s">
        <v>236</v>
      </c>
      <c r="F64" s="122" t="s">
        <v>237</v>
      </c>
      <c r="G64" s="122" t="s">
        <v>238</v>
      </c>
    </row>
    <row r="65" spans="2:8" ht="57" x14ac:dyDescent="0.45">
      <c r="B65" s="54" t="s">
        <v>50</v>
      </c>
      <c r="C65" s="25">
        <v>4</v>
      </c>
      <c r="D65" s="85" t="s">
        <v>57</v>
      </c>
      <c r="E65" s="122" t="s">
        <v>239</v>
      </c>
      <c r="F65" s="122" t="s">
        <v>240</v>
      </c>
      <c r="G65" s="122" t="s">
        <v>241</v>
      </c>
    </row>
    <row r="66" spans="2:8" ht="57.4" thickBot="1" x14ac:dyDescent="0.5">
      <c r="B66" s="64" t="s">
        <v>52</v>
      </c>
      <c r="C66" s="46" t="s">
        <v>30</v>
      </c>
      <c r="D66" s="86" t="s">
        <v>58</v>
      </c>
      <c r="E66" s="126" t="s">
        <v>224</v>
      </c>
      <c r="F66" s="126" t="s">
        <v>225</v>
      </c>
      <c r="G66" s="126" t="s">
        <v>226</v>
      </c>
    </row>
    <row r="67" spans="2:8" x14ac:dyDescent="0.45">
      <c r="B67" s="6"/>
      <c r="D67" s="122"/>
    </row>
    <row r="68" spans="2:8" x14ac:dyDescent="0.45">
      <c r="B68" s="146" t="s">
        <v>14</v>
      </c>
      <c r="C68" s="146"/>
      <c r="D68" s="147" t="s">
        <v>15</v>
      </c>
      <c r="E68" s="156" t="s">
        <v>40</v>
      </c>
      <c r="F68" s="157" t="s">
        <v>68</v>
      </c>
      <c r="G68" s="157" t="s">
        <v>251</v>
      </c>
      <c r="H68" s="156" t="s">
        <v>42</v>
      </c>
    </row>
    <row r="69" spans="2:8" ht="65.650000000000006" x14ac:dyDescent="0.45">
      <c r="B69" s="148" t="s">
        <v>245</v>
      </c>
      <c r="C69" s="148"/>
      <c r="D69" s="158">
        <v>3</v>
      </c>
      <c r="E69" s="159" t="s">
        <v>252</v>
      </c>
      <c r="F69" s="159" t="s">
        <v>253</v>
      </c>
      <c r="G69" s="159" t="s">
        <v>254</v>
      </c>
      <c r="H69" s="159" t="s">
        <v>255</v>
      </c>
    </row>
    <row r="70" spans="2:8" ht="65.650000000000006" x14ac:dyDescent="0.45">
      <c r="B70" s="148" t="s">
        <v>246</v>
      </c>
      <c r="C70" s="148"/>
      <c r="D70" s="158">
        <v>2</v>
      </c>
      <c r="E70" s="159" t="s">
        <v>256</v>
      </c>
      <c r="F70" s="159" t="s">
        <v>257</v>
      </c>
      <c r="G70" s="159" t="s">
        <v>258</v>
      </c>
      <c r="H70" s="159" t="s">
        <v>259</v>
      </c>
    </row>
    <row r="71" spans="2:8" ht="78.75" x14ac:dyDescent="0.45">
      <c r="B71" s="148" t="s">
        <v>247</v>
      </c>
      <c r="C71" s="148"/>
      <c r="D71" s="158">
        <v>2</v>
      </c>
      <c r="E71" s="159" t="s">
        <v>260</v>
      </c>
      <c r="F71" s="159" t="s">
        <v>261</v>
      </c>
      <c r="G71" s="159" t="s">
        <v>262</v>
      </c>
      <c r="H71" s="159" t="s">
        <v>263</v>
      </c>
    </row>
    <row r="72" spans="2:8" ht="65.650000000000006" x14ac:dyDescent="0.45">
      <c r="B72" s="148" t="s">
        <v>248</v>
      </c>
      <c r="C72" s="148"/>
      <c r="D72" s="158">
        <v>3</v>
      </c>
      <c r="E72" s="159" t="s">
        <v>264</v>
      </c>
      <c r="F72" s="159" t="s">
        <v>265</v>
      </c>
      <c r="G72" s="159" t="s">
        <v>266</v>
      </c>
      <c r="H72" s="159" t="s">
        <v>267</v>
      </c>
    </row>
    <row r="73" spans="2:8" ht="78.75" x14ac:dyDescent="0.45">
      <c r="B73" s="148" t="s">
        <v>249</v>
      </c>
      <c r="C73" s="148"/>
      <c r="D73" s="158">
        <v>2</v>
      </c>
      <c r="E73" s="159" t="s">
        <v>268</v>
      </c>
      <c r="F73" s="159" t="s">
        <v>269</v>
      </c>
      <c r="G73" s="159" t="s">
        <v>270</v>
      </c>
      <c r="H73" s="159" t="s">
        <v>271</v>
      </c>
    </row>
    <row r="74" spans="2:8" ht="118.15" x14ac:dyDescent="0.45">
      <c r="B74" s="148" t="s">
        <v>250</v>
      </c>
      <c r="C74" s="148"/>
      <c r="D74" s="158">
        <v>8</v>
      </c>
      <c r="E74" s="159" t="s">
        <v>272</v>
      </c>
      <c r="F74" s="159" t="s">
        <v>273</v>
      </c>
      <c r="G74" s="159" t="s">
        <v>274</v>
      </c>
      <c r="H74" s="159" t="s">
        <v>275</v>
      </c>
    </row>
  </sheetData>
  <mergeCells count="13">
    <mergeCell ref="B72:C72"/>
    <mergeCell ref="B73:C73"/>
    <mergeCell ref="B74:C74"/>
    <mergeCell ref="B49:E49"/>
    <mergeCell ref="B68:C68"/>
    <mergeCell ref="B69:C69"/>
    <mergeCell ref="B70:C70"/>
    <mergeCell ref="B71:C71"/>
    <mergeCell ref="B3:H3"/>
    <mergeCell ref="E2:G2"/>
    <mergeCell ref="B13:C13"/>
    <mergeCell ref="B26:G26"/>
    <mergeCell ref="B38:E38"/>
  </mergeCells>
  <pageMargins left="0.78740157480314965" right="0.78740157480314965" top="0.78740157480314965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Criterios</vt:lpstr>
      <vt:lpstr>Rúbrica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Orlando Salazar Campos</dc:creator>
  <cp:lastModifiedBy>Kenny Neira Neira</cp:lastModifiedBy>
  <cp:revision>1</cp:revision>
  <cp:lastPrinted>2026-04-14T14:08:00Z</cp:lastPrinted>
  <dcterms:created xsi:type="dcterms:W3CDTF">2022-11-25T19:29:12Z</dcterms:created>
  <dcterms:modified xsi:type="dcterms:W3CDTF">2026-06-27T12:44:25Z</dcterms:modified>
  <cp:version>1</cp:version>
</cp:coreProperties>
</file>